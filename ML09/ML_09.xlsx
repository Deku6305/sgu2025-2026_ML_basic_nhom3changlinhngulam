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sguedu-my.sharepoint.com/personal/3123410070_sv_sgu_edu_vn/Documents/"/>
    </mc:Choice>
  </mc:AlternateContent>
  <xr:revisionPtr revIDLastSave="3671" documentId="8_{DE954119-1844-45F0-8850-CC5188A45780}" xr6:coauthVersionLast="47" xr6:coauthVersionMax="47" xr10:uidLastSave="{9CD013D6-9628-4B40-8745-6B60B58AA6B9}"/>
  <bookViews>
    <workbookView xWindow="-108" yWindow="-108" windowWidth="23256" windowHeight="12456" activeTab="2" xr2:uid="{DE6E4A96-5270-4ADF-8B76-34CE85FD79CE}"/>
  </bookViews>
  <sheets>
    <sheet name="Liner Regression" sheetId="1" r:id="rId1"/>
    <sheet name="chapter6_01" sheetId="2" r:id="rId2"/>
    <sheet name="chapter6_02" sheetId="3" r:id="rId3"/>
  </sheets>
  <definedNames>
    <definedName name="solver_adj" localSheetId="1" hidden="1">chapter6_01!$A$4:$N$4</definedName>
    <definedName name="solver_adj" localSheetId="2" hidden="1">chapter6_02!$A$4:$N$4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chapter6_01!$T$1</definedName>
    <definedName name="solver_opt" localSheetId="2" hidden="1">chapter6_02!$T$1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5" i="3" l="1"/>
  <c r="P225" i="3" s="1"/>
  <c r="Q225" i="3" s="1"/>
  <c r="R225" i="3" s="1"/>
  <c r="O226" i="3"/>
  <c r="P226" i="3" s="1"/>
  <c r="Q226" i="3" s="1"/>
  <c r="R226" i="3" s="1"/>
  <c r="O227" i="3"/>
  <c r="P227" i="3" s="1"/>
  <c r="Q227" i="3" s="1"/>
  <c r="R227" i="3" s="1"/>
  <c r="O228" i="3"/>
  <c r="P228" i="3" s="1"/>
  <c r="Q228" i="3" s="1"/>
  <c r="R228" i="3" s="1"/>
  <c r="O229" i="3"/>
  <c r="P229" i="3" s="1"/>
  <c r="Q229" i="3" s="1"/>
  <c r="R229" i="3" s="1"/>
  <c r="O230" i="3"/>
  <c r="P230" i="3" s="1"/>
  <c r="Q230" i="3" s="1"/>
  <c r="R230" i="3" s="1"/>
  <c r="O231" i="3"/>
  <c r="P231" i="3" s="1"/>
  <c r="Q231" i="3" s="1"/>
  <c r="R231" i="3" s="1"/>
  <c r="O232" i="3"/>
  <c r="P232" i="3" s="1"/>
  <c r="Q232" i="3" s="1"/>
  <c r="R232" i="3" s="1"/>
  <c r="O233" i="3"/>
  <c r="P233" i="3" s="1"/>
  <c r="Q233" i="3" s="1"/>
  <c r="R233" i="3" s="1"/>
  <c r="O234" i="3"/>
  <c r="P234" i="3" s="1"/>
  <c r="Q234" i="3" s="1"/>
  <c r="R234" i="3"/>
  <c r="O235" i="3"/>
  <c r="P235" i="3" s="1"/>
  <c r="Q235" i="3" s="1"/>
  <c r="R235" i="3" s="1"/>
  <c r="O236" i="3"/>
  <c r="P236" i="3" s="1"/>
  <c r="Q236" i="3" s="1"/>
  <c r="R236" i="3"/>
  <c r="O237" i="3"/>
  <c r="P237" i="3" s="1"/>
  <c r="Q237" i="3" s="1"/>
  <c r="R237" i="3" s="1"/>
  <c r="O238" i="3"/>
  <c r="P238" i="3" s="1"/>
  <c r="Q238" i="3" s="1"/>
  <c r="R238" i="3" s="1"/>
  <c r="O239" i="3"/>
  <c r="P239" i="3" s="1"/>
  <c r="Q239" i="3" s="1"/>
  <c r="R239" i="3" s="1"/>
  <c r="O240" i="3"/>
  <c r="P240" i="3" s="1"/>
  <c r="Q240" i="3" s="1"/>
  <c r="R240" i="3" s="1"/>
  <c r="O241" i="3"/>
  <c r="P241" i="3" s="1"/>
  <c r="Q241" i="3" s="1"/>
  <c r="R241" i="3" s="1"/>
  <c r="O242" i="3"/>
  <c r="P242" i="3" s="1"/>
  <c r="Q242" i="3" s="1"/>
  <c r="R242" i="3"/>
  <c r="O243" i="3"/>
  <c r="P243" i="3" s="1"/>
  <c r="Q243" i="3" s="1"/>
  <c r="R243" i="3" s="1"/>
  <c r="O244" i="3"/>
  <c r="P244" i="3" s="1"/>
  <c r="Q244" i="3" s="1"/>
  <c r="R244" i="3"/>
  <c r="O245" i="3"/>
  <c r="P245" i="3" s="1"/>
  <c r="Q245" i="3" s="1"/>
  <c r="R245" i="3" s="1"/>
  <c r="O246" i="3"/>
  <c r="P246" i="3" s="1"/>
  <c r="Q246" i="3" s="1"/>
  <c r="R246" i="3"/>
  <c r="O247" i="3"/>
  <c r="P247" i="3" s="1"/>
  <c r="Q247" i="3" s="1"/>
  <c r="R247" i="3" s="1"/>
  <c r="O248" i="3"/>
  <c r="P248" i="3" s="1"/>
  <c r="Q248" i="3" s="1"/>
  <c r="R248" i="3" s="1"/>
  <c r="O249" i="3"/>
  <c r="P249" i="3" s="1"/>
  <c r="Q249" i="3" s="1"/>
  <c r="R249" i="3" s="1"/>
  <c r="O250" i="3"/>
  <c r="P250" i="3" s="1"/>
  <c r="Q250" i="3" s="1"/>
  <c r="R250" i="3"/>
  <c r="O251" i="3"/>
  <c r="P251" i="3" s="1"/>
  <c r="Q251" i="3" s="1"/>
  <c r="R251" i="3" s="1"/>
  <c r="O252" i="3"/>
  <c r="P252" i="3" s="1"/>
  <c r="Q252" i="3" s="1"/>
  <c r="R252" i="3"/>
  <c r="O253" i="3"/>
  <c r="P253" i="3" s="1"/>
  <c r="Q253" i="3" s="1"/>
  <c r="R253" i="3" s="1"/>
  <c r="O254" i="3"/>
  <c r="P254" i="3" s="1"/>
  <c r="Q254" i="3" s="1"/>
  <c r="R254" i="3"/>
  <c r="O255" i="3"/>
  <c r="P255" i="3" s="1"/>
  <c r="Q255" i="3" s="1"/>
  <c r="R255" i="3" s="1"/>
  <c r="O256" i="3"/>
  <c r="P256" i="3" s="1"/>
  <c r="Q256" i="3" s="1"/>
  <c r="R256" i="3" s="1"/>
  <c r="O257" i="3"/>
  <c r="P257" i="3" s="1"/>
  <c r="Q257" i="3" s="1"/>
  <c r="R257" i="3" s="1"/>
  <c r="O258" i="3"/>
  <c r="P258" i="3" s="1"/>
  <c r="Q258" i="3" s="1"/>
  <c r="R258" i="3"/>
  <c r="O259" i="3"/>
  <c r="P259" i="3" s="1"/>
  <c r="Q259" i="3" s="1"/>
  <c r="R259" i="3" s="1"/>
  <c r="O260" i="3"/>
  <c r="P260" i="3" s="1"/>
  <c r="Q260" i="3" s="1"/>
  <c r="R260" i="3"/>
  <c r="O261" i="3"/>
  <c r="P261" i="3" s="1"/>
  <c r="Q261" i="3" s="1"/>
  <c r="R261" i="3" s="1"/>
  <c r="O262" i="3"/>
  <c r="P262" i="3" s="1"/>
  <c r="Q262" i="3" s="1"/>
  <c r="R262" i="3"/>
  <c r="O263" i="3"/>
  <c r="P263" i="3" s="1"/>
  <c r="Q263" i="3" s="1"/>
  <c r="R263" i="3" s="1"/>
  <c r="O264" i="3"/>
  <c r="P264" i="3" s="1"/>
  <c r="Q264" i="3" s="1"/>
  <c r="R264" i="3" s="1"/>
  <c r="O265" i="3"/>
  <c r="P265" i="3" s="1"/>
  <c r="Q265" i="3" s="1"/>
  <c r="R265" i="3" s="1"/>
  <c r="O266" i="3"/>
  <c r="P266" i="3" s="1"/>
  <c r="Q266" i="3" s="1"/>
  <c r="R266" i="3"/>
  <c r="O267" i="3"/>
  <c r="P267" i="3" s="1"/>
  <c r="Q267" i="3" s="1"/>
  <c r="R267" i="3" s="1"/>
  <c r="O268" i="3"/>
  <c r="P268" i="3" s="1"/>
  <c r="Q268" i="3" s="1"/>
  <c r="R268" i="3"/>
  <c r="O269" i="3"/>
  <c r="P269" i="3" s="1"/>
  <c r="Q269" i="3" s="1"/>
  <c r="R269" i="3" s="1"/>
  <c r="O270" i="3"/>
  <c r="P270" i="3" s="1"/>
  <c r="Q270" i="3" s="1"/>
  <c r="R270" i="3"/>
  <c r="O271" i="3"/>
  <c r="P271" i="3" s="1"/>
  <c r="Q271" i="3" s="1"/>
  <c r="R271" i="3" s="1"/>
  <c r="O272" i="3"/>
  <c r="P272" i="3" s="1"/>
  <c r="Q272" i="3" s="1"/>
  <c r="R272" i="3" s="1"/>
  <c r="O273" i="3"/>
  <c r="P273" i="3" s="1"/>
  <c r="Q273" i="3" s="1"/>
  <c r="R273" i="3" s="1"/>
  <c r="O274" i="3"/>
  <c r="P274" i="3" s="1"/>
  <c r="Q274" i="3" s="1"/>
  <c r="R274" i="3"/>
  <c r="O275" i="3"/>
  <c r="P275" i="3" s="1"/>
  <c r="Q275" i="3" s="1"/>
  <c r="R275" i="3" s="1"/>
  <c r="O276" i="3"/>
  <c r="P276" i="3" s="1"/>
  <c r="Q276" i="3" s="1"/>
  <c r="R276" i="3"/>
  <c r="O277" i="3"/>
  <c r="P277" i="3" s="1"/>
  <c r="Q277" i="3" s="1"/>
  <c r="R277" i="3" s="1"/>
  <c r="O278" i="3"/>
  <c r="P278" i="3" s="1"/>
  <c r="Q278" i="3" s="1"/>
  <c r="R278" i="3"/>
  <c r="O279" i="3"/>
  <c r="P279" i="3" s="1"/>
  <c r="Q279" i="3" s="1"/>
  <c r="R279" i="3" s="1"/>
  <c r="O280" i="3"/>
  <c r="P280" i="3" s="1"/>
  <c r="Q280" i="3" s="1"/>
  <c r="R280" i="3" s="1"/>
  <c r="O281" i="3"/>
  <c r="P281" i="3" s="1"/>
  <c r="Q281" i="3" s="1"/>
  <c r="R281" i="3" s="1"/>
  <c r="O282" i="3"/>
  <c r="P282" i="3" s="1"/>
  <c r="Q282" i="3" s="1"/>
  <c r="R282" i="3"/>
  <c r="O283" i="3"/>
  <c r="P283" i="3" s="1"/>
  <c r="Q283" i="3" s="1"/>
  <c r="R283" i="3" s="1"/>
  <c r="O284" i="3"/>
  <c r="P284" i="3" s="1"/>
  <c r="Q284" i="3" s="1"/>
  <c r="R284" i="3"/>
  <c r="O285" i="3"/>
  <c r="P285" i="3" s="1"/>
  <c r="Q285" i="3" s="1"/>
  <c r="R285" i="3" s="1"/>
  <c r="O286" i="3"/>
  <c r="P286" i="3" s="1"/>
  <c r="Q286" i="3" s="1"/>
  <c r="R286" i="3"/>
  <c r="O287" i="3"/>
  <c r="P287" i="3" s="1"/>
  <c r="Q287" i="3" s="1"/>
  <c r="R287" i="3" s="1"/>
  <c r="O288" i="3"/>
  <c r="P288" i="3" s="1"/>
  <c r="Q288" i="3" s="1"/>
  <c r="R288" i="3" s="1"/>
  <c r="O289" i="3"/>
  <c r="P289" i="3" s="1"/>
  <c r="Q289" i="3" s="1"/>
  <c r="R289" i="3" s="1"/>
  <c r="O290" i="3"/>
  <c r="P290" i="3" s="1"/>
  <c r="Q290" i="3" s="1"/>
  <c r="R290" i="3"/>
  <c r="O291" i="3"/>
  <c r="P291" i="3" s="1"/>
  <c r="Q291" i="3" s="1"/>
  <c r="R291" i="3" s="1"/>
  <c r="O292" i="3"/>
  <c r="P292" i="3" s="1"/>
  <c r="Q292" i="3" s="1"/>
  <c r="R292" i="3"/>
  <c r="O293" i="3"/>
  <c r="P293" i="3" s="1"/>
  <c r="Q293" i="3" s="1"/>
  <c r="R293" i="3" s="1"/>
  <c r="O294" i="3"/>
  <c r="P294" i="3" s="1"/>
  <c r="Q294" i="3" s="1"/>
  <c r="R294" i="3"/>
  <c r="O295" i="3"/>
  <c r="P295" i="3" s="1"/>
  <c r="Q295" i="3" s="1"/>
  <c r="R295" i="3" s="1"/>
  <c r="O296" i="3"/>
  <c r="P296" i="3" s="1"/>
  <c r="Q296" i="3" s="1"/>
  <c r="R296" i="3" s="1"/>
  <c r="O297" i="3"/>
  <c r="P297" i="3" s="1"/>
  <c r="Q297" i="3" s="1"/>
  <c r="R297" i="3" s="1"/>
  <c r="O298" i="3"/>
  <c r="P298" i="3" s="1"/>
  <c r="Q298" i="3" s="1"/>
  <c r="R298" i="3"/>
  <c r="O299" i="3"/>
  <c r="P299" i="3" s="1"/>
  <c r="Q299" i="3" s="1"/>
  <c r="R299" i="3" s="1"/>
  <c r="O300" i="3"/>
  <c r="P300" i="3" s="1"/>
  <c r="Q300" i="3" s="1"/>
  <c r="R300" i="3"/>
  <c r="O301" i="3"/>
  <c r="P301" i="3" s="1"/>
  <c r="Q301" i="3" s="1"/>
  <c r="R301" i="3" s="1"/>
  <c r="O302" i="3"/>
  <c r="P302" i="3" s="1"/>
  <c r="Q302" i="3" s="1"/>
  <c r="R302" i="3"/>
  <c r="O303" i="3"/>
  <c r="P303" i="3" s="1"/>
  <c r="Q303" i="3" s="1"/>
  <c r="R303" i="3" s="1"/>
  <c r="O304" i="3"/>
  <c r="P304" i="3" s="1"/>
  <c r="Q304" i="3" s="1"/>
  <c r="R304" i="3" s="1"/>
  <c r="O305" i="3"/>
  <c r="P305" i="3" s="1"/>
  <c r="Q305" i="3" s="1"/>
  <c r="R305" i="3" s="1"/>
  <c r="O306" i="3"/>
  <c r="P306" i="3" s="1"/>
  <c r="Q306" i="3" s="1"/>
  <c r="R306" i="3"/>
  <c r="R224" i="3"/>
  <c r="R219" i="3"/>
  <c r="Q224" i="3"/>
  <c r="Q219" i="3"/>
  <c r="P224" i="3"/>
  <c r="P219" i="3"/>
  <c r="O224" i="3"/>
  <c r="O219" i="3"/>
  <c r="O7" i="3"/>
  <c r="P7" i="3" s="1"/>
  <c r="O8" i="3"/>
  <c r="P8" i="3" s="1"/>
  <c r="O9" i="3"/>
  <c r="P9" i="3" s="1"/>
  <c r="O10" i="3"/>
  <c r="P10" i="3" s="1"/>
  <c r="Q10" i="3" s="1"/>
  <c r="R10" i="3" s="1"/>
  <c r="O11" i="3"/>
  <c r="P11" i="3" s="1"/>
  <c r="S11" i="3" s="1"/>
  <c r="T11" i="3" s="1"/>
  <c r="O12" i="3"/>
  <c r="P12" i="3" s="1"/>
  <c r="Q12" i="3" s="1"/>
  <c r="R12" i="3" s="1"/>
  <c r="O13" i="3"/>
  <c r="P13" i="3" s="1"/>
  <c r="O14" i="3"/>
  <c r="P14" i="3" s="1"/>
  <c r="O15" i="3"/>
  <c r="P15" i="3" s="1"/>
  <c r="O16" i="3"/>
  <c r="P16" i="3" s="1"/>
  <c r="O17" i="3"/>
  <c r="P17" i="3" s="1"/>
  <c r="O18" i="3"/>
  <c r="P18" i="3" s="1"/>
  <c r="Q18" i="3" s="1"/>
  <c r="R18" i="3" s="1"/>
  <c r="O19" i="3"/>
  <c r="P19" i="3" s="1"/>
  <c r="S19" i="3" s="1"/>
  <c r="T19" i="3" s="1"/>
  <c r="O20" i="3"/>
  <c r="P20" i="3" s="1"/>
  <c r="Q20" i="3" s="1"/>
  <c r="R20" i="3" s="1"/>
  <c r="O21" i="3"/>
  <c r="P21" i="3" s="1"/>
  <c r="O22" i="3"/>
  <c r="P22" i="3" s="1"/>
  <c r="O23" i="3"/>
  <c r="P23" i="3" s="1"/>
  <c r="Q23" i="3" s="1"/>
  <c r="R23" i="3" s="1"/>
  <c r="O24" i="3"/>
  <c r="P24" i="3" s="1"/>
  <c r="S24" i="3" s="1"/>
  <c r="T24" i="3" s="1"/>
  <c r="O25" i="3"/>
  <c r="P25" i="3" s="1"/>
  <c r="O26" i="3"/>
  <c r="P26" i="3" s="1"/>
  <c r="O27" i="3"/>
  <c r="P27" i="3" s="1"/>
  <c r="O28" i="3"/>
  <c r="P28" i="3" s="1"/>
  <c r="O29" i="3"/>
  <c r="P29" i="3" s="1"/>
  <c r="S29" i="3" s="1"/>
  <c r="T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Q55" i="3" s="1"/>
  <c r="R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Q63" i="3" s="1"/>
  <c r="R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S69" i="3" s="1"/>
  <c r="T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Q87" i="3" s="1"/>
  <c r="R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S93" i="3" s="1"/>
  <c r="T93" i="3" s="1"/>
  <c r="O94" i="3"/>
  <c r="P94" i="3" s="1"/>
  <c r="O95" i="3"/>
  <c r="P95" i="3" s="1"/>
  <c r="Q95" i="3" s="1"/>
  <c r="R95" i="3" s="1"/>
  <c r="O96" i="3"/>
  <c r="P96" i="3" s="1"/>
  <c r="S96" i="3" s="1"/>
  <c r="T96" i="3" s="1"/>
  <c r="O97" i="3"/>
  <c r="P97" i="3" s="1"/>
  <c r="O98" i="3"/>
  <c r="P98" i="3" s="1"/>
  <c r="O99" i="3"/>
  <c r="P99" i="3" s="1"/>
  <c r="O100" i="3"/>
  <c r="P100" i="3" s="1"/>
  <c r="O101" i="3"/>
  <c r="P101" i="3" s="1"/>
  <c r="S101" i="3" s="1"/>
  <c r="T101" i="3" s="1"/>
  <c r="O102" i="3"/>
  <c r="P102" i="3" s="1"/>
  <c r="O103" i="3"/>
  <c r="P103" i="3" s="1"/>
  <c r="Q103" i="3" s="1"/>
  <c r="R103" i="3" s="1"/>
  <c r="O104" i="3"/>
  <c r="P104" i="3" s="1"/>
  <c r="S104" i="3" s="1"/>
  <c r="T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117" i="3"/>
  <c r="P117" i="3" s="1"/>
  <c r="O118" i="3"/>
  <c r="P118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125" i="3"/>
  <c r="P125" i="3" s="1"/>
  <c r="S125" i="3" s="1"/>
  <c r="T125" i="3" s="1"/>
  <c r="O126" i="3"/>
  <c r="P126" i="3" s="1"/>
  <c r="O127" i="3"/>
  <c r="P127" i="3" s="1"/>
  <c r="Q127" i="3" s="1"/>
  <c r="R127" i="3" s="1"/>
  <c r="O128" i="3"/>
  <c r="P128" i="3" s="1"/>
  <c r="S128" i="3" s="1"/>
  <c r="T128" i="3" s="1"/>
  <c r="O129" i="3"/>
  <c r="P129" i="3" s="1"/>
  <c r="O130" i="3"/>
  <c r="P130" i="3" s="1"/>
  <c r="O131" i="3"/>
  <c r="P131" i="3" s="1"/>
  <c r="O132" i="3"/>
  <c r="P132" i="3" s="1"/>
  <c r="O133" i="3"/>
  <c r="P133" i="3" s="1"/>
  <c r="S133" i="3" s="1"/>
  <c r="T133" i="3" s="1"/>
  <c r="O134" i="3"/>
  <c r="P134" i="3" s="1"/>
  <c r="O135" i="3"/>
  <c r="P135" i="3" s="1"/>
  <c r="Q135" i="3" s="1"/>
  <c r="R135" i="3" s="1"/>
  <c r="O136" i="3"/>
  <c r="P136" i="3" s="1"/>
  <c r="S136" i="3" s="1"/>
  <c r="T136" i="3" s="1"/>
  <c r="O137" i="3"/>
  <c r="P137" i="3" s="1"/>
  <c r="O138" i="3"/>
  <c r="P138" i="3" s="1"/>
  <c r="O139" i="3"/>
  <c r="P139" i="3" s="1"/>
  <c r="O140" i="3"/>
  <c r="P140" i="3" s="1"/>
  <c r="O141" i="3"/>
  <c r="P141" i="3" s="1"/>
  <c r="S141" i="3" s="1"/>
  <c r="T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P147" i="3" s="1"/>
  <c r="O148" i="3"/>
  <c r="P148" i="3" s="1"/>
  <c r="O149" i="3"/>
  <c r="P149" i="3" s="1"/>
  <c r="S149" i="3" s="1"/>
  <c r="T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P159" i="3" s="1"/>
  <c r="O160" i="3"/>
  <c r="P160" i="3" s="1"/>
  <c r="O161" i="3"/>
  <c r="P161" i="3" s="1"/>
  <c r="O162" i="3"/>
  <c r="P162" i="3" s="1"/>
  <c r="O163" i="3"/>
  <c r="P163" i="3" s="1"/>
  <c r="O164" i="3"/>
  <c r="P164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S176" i="3" s="1"/>
  <c r="T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188" i="3"/>
  <c r="P188" i="3" s="1"/>
  <c r="O189" i="3"/>
  <c r="P189" i="3" s="1"/>
  <c r="S189" i="3" s="1"/>
  <c r="T189" i="3" s="1"/>
  <c r="O190" i="3"/>
  <c r="P190" i="3" s="1"/>
  <c r="O191" i="3"/>
  <c r="P191" i="3" s="1"/>
  <c r="O192" i="3"/>
  <c r="P192" i="3" s="1"/>
  <c r="O193" i="3"/>
  <c r="P193" i="3" s="1"/>
  <c r="O194" i="3"/>
  <c r="P194" i="3" s="1"/>
  <c r="O195" i="3"/>
  <c r="P195" i="3" s="1"/>
  <c r="O196" i="3"/>
  <c r="P196" i="3" s="1"/>
  <c r="Q196" i="3" s="1"/>
  <c r="R196" i="3" s="1"/>
  <c r="O197" i="3"/>
  <c r="P197" i="3" s="1"/>
  <c r="O198" i="3"/>
  <c r="P198" i="3" s="1"/>
  <c r="Q198" i="3" s="1"/>
  <c r="R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Q204" i="3" s="1"/>
  <c r="R204" i="3" s="1"/>
  <c r="O205" i="3"/>
  <c r="P205" i="3" s="1"/>
  <c r="O206" i="3"/>
  <c r="P206" i="3" s="1"/>
  <c r="Q206" i="3" s="1"/>
  <c r="R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Q212" i="3" s="1"/>
  <c r="R212" i="3" s="1"/>
  <c r="O213" i="3"/>
  <c r="P213" i="3" s="1"/>
  <c r="O214" i="3"/>
  <c r="P214" i="3" s="1"/>
  <c r="Q214" i="3" s="1"/>
  <c r="R214" i="3" s="1"/>
  <c r="O215" i="3"/>
  <c r="P215" i="3" s="1"/>
  <c r="O216" i="3"/>
  <c r="P216" i="3" s="1"/>
  <c r="O217" i="3"/>
  <c r="P217" i="3" s="1"/>
  <c r="O218" i="3"/>
  <c r="P218" i="3" s="1"/>
  <c r="O6" i="3"/>
  <c r="P6" i="3" s="1"/>
  <c r="R3" i="3" l="1"/>
  <c r="R4" i="3" s="1"/>
  <c r="Q185" i="3"/>
  <c r="R185" i="3" s="1"/>
  <c r="S185" i="3"/>
  <c r="T185" i="3" s="1"/>
  <c r="Q113" i="3"/>
  <c r="R113" i="3" s="1"/>
  <c r="S113" i="3"/>
  <c r="T113" i="3" s="1"/>
  <c r="Q191" i="3"/>
  <c r="R191" i="3" s="1"/>
  <c r="S191" i="3"/>
  <c r="T191" i="3" s="1"/>
  <c r="Q151" i="3"/>
  <c r="R151" i="3" s="1"/>
  <c r="S151" i="3"/>
  <c r="T151" i="3" s="1"/>
  <c r="Q174" i="3"/>
  <c r="R174" i="3" s="1"/>
  <c r="S174" i="3"/>
  <c r="T174" i="3" s="1"/>
  <c r="Q142" i="3"/>
  <c r="R142" i="3" s="1"/>
  <c r="S142" i="3"/>
  <c r="T142" i="3" s="1"/>
  <c r="S197" i="3"/>
  <c r="T197" i="3" s="1"/>
  <c r="Q197" i="3"/>
  <c r="R197" i="3" s="1"/>
  <c r="S109" i="3"/>
  <c r="T109" i="3" s="1"/>
  <c r="Q109" i="3"/>
  <c r="R109" i="3" s="1"/>
  <c r="S219" i="3"/>
  <c r="T219" i="3" s="1"/>
  <c r="Q211" i="3"/>
  <c r="R211" i="3" s="1"/>
  <c r="S211" i="3"/>
  <c r="T211" i="3" s="1"/>
  <c r="Q203" i="3"/>
  <c r="R203" i="3" s="1"/>
  <c r="S203" i="3"/>
  <c r="T203" i="3" s="1"/>
  <c r="Q195" i="3"/>
  <c r="R195" i="3" s="1"/>
  <c r="S195" i="3"/>
  <c r="T195" i="3" s="1"/>
  <c r="Q187" i="3"/>
  <c r="R187" i="3" s="1"/>
  <c r="S187" i="3"/>
  <c r="T187" i="3" s="1"/>
  <c r="Q179" i="3"/>
  <c r="R179" i="3" s="1"/>
  <c r="S179" i="3"/>
  <c r="T179" i="3" s="1"/>
  <c r="Q171" i="3"/>
  <c r="R171" i="3" s="1"/>
  <c r="S171" i="3"/>
  <c r="T171" i="3" s="1"/>
  <c r="Q163" i="3"/>
  <c r="R163" i="3" s="1"/>
  <c r="S163" i="3"/>
  <c r="T163" i="3" s="1"/>
  <c r="Q155" i="3"/>
  <c r="R155" i="3" s="1"/>
  <c r="S155" i="3"/>
  <c r="T155" i="3" s="1"/>
  <c r="S147" i="3"/>
  <c r="T147" i="3" s="1"/>
  <c r="Q147" i="3"/>
  <c r="R147" i="3" s="1"/>
  <c r="Q139" i="3"/>
  <c r="R139" i="3" s="1"/>
  <c r="S139" i="3"/>
  <c r="T139" i="3" s="1"/>
  <c r="Q131" i="3"/>
  <c r="R131" i="3" s="1"/>
  <c r="S131" i="3"/>
  <c r="T131" i="3" s="1"/>
  <c r="Q123" i="3"/>
  <c r="R123" i="3" s="1"/>
  <c r="S123" i="3"/>
  <c r="T123" i="3" s="1"/>
  <c r="Q115" i="3"/>
  <c r="R115" i="3" s="1"/>
  <c r="S115" i="3"/>
  <c r="T115" i="3" s="1"/>
  <c r="Q107" i="3"/>
  <c r="R107" i="3" s="1"/>
  <c r="S107" i="3"/>
  <c r="T107" i="3" s="1"/>
  <c r="S99" i="3"/>
  <c r="T99" i="3" s="1"/>
  <c r="Q99" i="3"/>
  <c r="R99" i="3" s="1"/>
  <c r="Q91" i="3"/>
  <c r="R91" i="3" s="1"/>
  <c r="S91" i="3"/>
  <c r="T91" i="3" s="1"/>
  <c r="Q83" i="3"/>
  <c r="R83" i="3" s="1"/>
  <c r="S83" i="3"/>
  <c r="T83" i="3" s="1"/>
  <c r="Q75" i="3"/>
  <c r="R75" i="3" s="1"/>
  <c r="S75" i="3"/>
  <c r="T75" i="3" s="1"/>
  <c r="Q67" i="3"/>
  <c r="R67" i="3" s="1"/>
  <c r="S67" i="3"/>
  <c r="T67" i="3" s="1"/>
  <c r="Q59" i="3"/>
  <c r="R59" i="3" s="1"/>
  <c r="S59" i="3"/>
  <c r="T59" i="3" s="1"/>
  <c r="Q51" i="3"/>
  <c r="R51" i="3" s="1"/>
  <c r="S51" i="3"/>
  <c r="T51" i="3" s="1"/>
  <c r="Q43" i="3"/>
  <c r="R43" i="3" s="1"/>
  <c r="S43" i="3"/>
  <c r="T43" i="3" s="1"/>
  <c r="Q35" i="3"/>
  <c r="R35" i="3" s="1"/>
  <c r="S35" i="3"/>
  <c r="T35" i="3" s="1"/>
  <c r="Q27" i="3"/>
  <c r="R27" i="3" s="1"/>
  <c r="S27" i="3"/>
  <c r="T27" i="3" s="1"/>
  <c r="S217" i="3"/>
  <c r="T217" i="3" s="1"/>
  <c r="Q217" i="3"/>
  <c r="R217" i="3" s="1"/>
  <c r="Q169" i="3"/>
  <c r="R169" i="3" s="1"/>
  <c r="S169" i="3"/>
  <c r="T169" i="3" s="1"/>
  <c r="Q121" i="3"/>
  <c r="R121" i="3" s="1"/>
  <c r="S121" i="3"/>
  <c r="T121" i="3" s="1"/>
  <c r="Q183" i="3"/>
  <c r="R183" i="3" s="1"/>
  <c r="S183" i="3"/>
  <c r="T183" i="3" s="1"/>
  <c r="Q143" i="3"/>
  <c r="R143" i="3" s="1"/>
  <c r="S143" i="3"/>
  <c r="T143" i="3" s="1"/>
  <c r="S166" i="3"/>
  <c r="T166" i="3" s="1"/>
  <c r="Q166" i="3"/>
  <c r="R166" i="3" s="1"/>
  <c r="Q213" i="3"/>
  <c r="R213" i="3" s="1"/>
  <c r="S213" i="3"/>
  <c r="T213" i="3" s="1"/>
  <c r="Q205" i="3"/>
  <c r="R205" i="3" s="1"/>
  <c r="S205" i="3"/>
  <c r="T205" i="3" s="1"/>
  <c r="S181" i="3"/>
  <c r="T181" i="3" s="1"/>
  <c r="Q181" i="3"/>
  <c r="R181" i="3" s="1"/>
  <c r="S218" i="3"/>
  <c r="T218" i="3" s="1"/>
  <c r="Q218" i="3"/>
  <c r="R218" i="3" s="1"/>
  <c r="S210" i="3"/>
  <c r="T210" i="3" s="1"/>
  <c r="Q210" i="3"/>
  <c r="R210" i="3" s="1"/>
  <c r="S202" i="3"/>
  <c r="T202" i="3" s="1"/>
  <c r="Q202" i="3"/>
  <c r="R202" i="3" s="1"/>
  <c r="S194" i="3"/>
  <c r="T194" i="3" s="1"/>
  <c r="Q194" i="3"/>
  <c r="R194" i="3" s="1"/>
  <c r="Q129" i="3"/>
  <c r="R129" i="3" s="1"/>
  <c r="S129" i="3"/>
  <c r="T129" i="3" s="1"/>
  <c r="Q9" i="3"/>
  <c r="R9" i="3" s="1"/>
  <c r="S9" i="3"/>
  <c r="T9" i="3" s="1"/>
  <c r="S193" i="3"/>
  <c r="T193" i="3" s="1"/>
  <c r="Q193" i="3"/>
  <c r="R193" i="3" s="1"/>
  <c r="Q145" i="3"/>
  <c r="R145" i="3" s="1"/>
  <c r="S145" i="3"/>
  <c r="T145" i="3" s="1"/>
  <c r="Q105" i="3"/>
  <c r="R105" i="3" s="1"/>
  <c r="S105" i="3"/>
  <c r="T105" i="3" s="1"/>
  <c r="Q97" i="3"/>
  <c r="R97" i="3" s="1"/>
  <c r="S97" i="3"/>
  <c r="T97" i="3" s="1"/>
  <c r="Q89" i="3"/>
  <c r="R89" i="3" s="1"/>
  <c r="S89" i="3"/>
  <c r="T89" i="3" s="1"/>
  <c r="Q81" i="3"/>
  <c r="R81" i="3" s="1"/>
  <c r="S81" i="3"/>
  <c r="T81" i="3" s="1"/>
  <c r="Q73" i="3"/>
  <c r="R73" i="3" s="1"/>
  <c r="S73" i="3"/>
  <c r="T73" i="3" s="1"/>
  <c r="Q65" i="3"/>
  <c r="R65" i="3" s="1"/>
  <c r="S65" i="3"/>
  <c r="T65" i="3" s="1"/>
  <c r="Q57" i="3"/>
  <c r="R57" i="3" s="1"/>
  <c r="S57" i="3"/>
  <c r="T57" i="3" s="1"/>
  <c r="S49" i="3"/>
  <c r="T49" i="3" s="1"/>
  <c r="Q49" i="3"/>
  <c r="R49" i="3" s="1"/>
  <c r="S41" i="3"/>
  <c r="T41" i="3" s="1"/>
  <c r="Q41" i="3"/>
  <c r="R41" i="3" s="1"/>
  <c r="Q33" i="3"/>
  <c r="R33" i="3" s="1"/>
  <c r="S33" i="3"/>
  <c r="T33" i="3" s="1"/>
  <c r="Q25" i="3"/>
  <c r="R25" i="3" s="1"/>
  <c r="S25" i="3"/>
  <c r="T25" i="3" s="1"/>
  <c r="Q17" i="3"/>
  <c r="R17" i="3" s="1"/>
  <c r="S17" i="3"/>
  <c r="T17" i="3" s="1"/>
  <c r="S216" i="3"/>
  <c r="T216" i="3" s="1"/>
  <c r="Q216" i="3"/>
  <c r="R216" i="3" s="1"/>
  <c r="Q208" i="3"/>
  <c r="R208" i="3" s="1"/>
  <c r="S208" i="3"/>
  <c r="T208" i="3" s="1"/>
  <c r="Q200" i="3"/>
  <c r="R200" i="3" s="1"/>
  <c r="S200" i="3"/>
  <c r="T200" i="3" s="1"/>
  <c r="Q192" i="3"/>
  <c r="R192" i="3" s="1"/>
  <c r="S192" i="3"/>
  <c r="T192" i="3" s="1"/>
  <c r="S184" i="3"/>
  <c r="T184" i="3" s="1"/>
  <c r="Q184" i="3"/>
  <c r="R184" i="3" s="1"/>
  <c r="S168" i="3"/>
  <c r="T168" i="3" s="1"/>
  <c r="Q168" i="3"/>
  <c r="R168" i="3" s="1"/>
  <c r="S160" i="3"/>
  <c r="T160" i="3" s="1"/>
  <c r="Q160" i="3"/>
  <c r="R160" i="3" s="1"/>
  <c r="S152" i="3"/>
  <c r="T152" i="3" s="1"/>
  <c r="Q152" i="3"/>
  <c r="R152" i="3" s="1"/>
  <c r="S144" i="3"/>
  <c r="T144" i="3" s="1"/>
  <c r="Q144" i="3"/>
  <c r="R144" i="3" s="1"/>
  <c r="S120" i="3"/>
  <c r="T120" i="3" s="1"/>
  <c r="Q120" i="3"/>
  <c r="R120" i="3" s="1"/>
  <c r="S112" i="3"/>
  <c r="T112" i="3" s="1"/>
  <c r="Q112" i="3"/>
  <c r="R112" i="3" s="1"/>
  <c r="S88" i="3"/>
  <c r="T88" i="3" s="1"/>
  <c r="Q88" i="3"/>
  <c r="R88" i="3" s="1"/>
  <c r="S80" i="3"/>
  <c r="T80" i="3" s="1"/>
  <c r="Q80" i="3"/>
  <c r="R80" i="3" s="1"/>
  <c r="S72" i="3"/>
  <c r="T72" i="3" s="1"/>
  <c r="Q72" i="3"/>
  <c r="R72" i="3" s="1"/>
  <c r="S64" i="3"/>
  <c r="T64" i="3" s="1"/>
  <c r="Q64" i="3"/>
  <c r="R64" i="3" s="1"/>
  <c r="S56" i="3"/>
  <c r="T56" i="3" s="1"/>
  <c r="Q56" i="3"/>
  <c r="R56" i="3" s="1"/>
  <c r="S48" i="3"/>
  <c r="T48" i="3" s="1"/>
  <c r="Q48" i="3"/>
  <c r="R48" i="3" s="1"/>
  <c r="S40" i="3"/>
  <c r="T40" i="3" s="1"/>
  <c r="Q40" i="3"/>
  <c r="R40" i="3" s="1"/>
  <c r="S32" i="3"/>
  <c r="T32" i="3" s="1"/>
  <c r="Q32" i="3"/>
  <c r="R32" i="3" s="1"/>
  <c r="S16" i="3"/>
  <c r="T16" i="3" s="1"/>
  <c r="Q16" i="3"/>
  <c r="R16" i="3" s="1"/>
  <c r="S8" i="3"/>
  <c r="T8" i="3" s="1"/>
  <c r="Q8" i="3"/>
  <c r="R8" i="3" s="1"/>
  <c r="S201" i="3"/>
  <c r="T201" i="3" s="1"/>
  <c r="Q201" i="3"/>
  <c r="R201" i="3" s="1"/>
  <c r="Q153" i="3"/>
  <c r="R153" i="3" s="1"/>
  <c r="S153" i="3"/>
  <c r="T153" i="3" s="1"/>
  <c r="S199" i="3"/>
  <c r="T199" i="3" s="1"/>
  <c r="Q199" i="3"/>
  <c r="R199" i="3" s="1"/>
  <c r="Q159" i="3"/>
  <c r="R159" i="3" s="1"/>
  <c r="S159" i="3"/>
  <c r="T159" i="3" s="1"/>
  <c r="Q119" i="3"/>
  <c r="R119" i="3" s="1"/>
  <c r="S119" i="3"/>
  <c r="T119" i="3" s="1"/>
  <c r="Q111" i="3"/>
  <c r="R111" i="3" s="1"/>
  <c r="S111" i="3"/>
  <c r="T111" i="3" s="1"/>
  <c r="Q79" i="3"/>
  <c r="R79" i="3" s="1"/>
  <c r="S79" i="3"/>
  <c r="T79" i="3" s="1"/>
  <c r="Q71" i="3"/>
  <c r="R71" i="3" s="1"/>
  <c r="S71" i="3"/>
  <c r="T71" i="3" s="1"/>
  <c r="Q47" i="3"/>
  <c r="R47" i="3" s="1"/>
  <c r="S47" i="3"/>
  <c r="T47" i="3" s="1"/>
  <c r="Q39" i="3"/>
  <c r="R39" i="3" s="1"/>
  <c r="S39" i="3"/>
  <c r="T39" i="3" s="1"/>
  <c r="Q31" i="3"/>
  <c r="R31" i="3" s="1"/>
  <c r="S31" i="3"/>
  <c r="T31" i="3" s="1"/>
  <c r="Q15" i="3"/>
  <c r="R15" i="3" s="1"/>
  <c r="S15" i="3"/>
  <c r="T15" i="3" s="1"/>
  <c r="Q7" i="3"/>
  <c r="R7" i="3" s="1"/>
  <c r="S7" i="3"/>
  <c r="T7" i="3" s="1"/>
  <c r="S209" i="3"/>
  <c r="T209" i="3" s="1"/>
  <c r="Q209" i="3"/>
  <c r="R209" i="3" s="1"/>
  <c r="Q161" i="3"/>
  <c r="R161" i="3" s="1"/>
  <c r="S161" i="3"/>
  <c r="T161" i="3" s="1"/>
  <c r="S215" i="3"/>
  <c r="T215" i="3" s="1"/>
  <c r="Q215" i="3"/>
  <c r="R215" i="3" s="1"/>
  <c r="Q175" i="3"/>
  <c r="R175" i="3" s="1"/>
  <c r="S175" i="3"/>
  <c r="T175" i="3" s="1"/>
  <c r="Q182" i="3"/>
  <c r="R182" i="3" s="1"/>
  <c r="S182" i="3"/>
  <c r="T182" i="3" s="1"/>
  <c r="S150" i="3"/>
  <c r="T150" i="3" s="1"/>
  <c r="Q150" i="3"/>
  <c r="R150" i="3" s="1"/>
  <c r="Q134" i="3"/>
  <c r="R134" i="3" s="1"/>
  <c r="S134" i="3"/>
  <c r="T134" i="3" s="1"/>
  <c r="S126" i="3"/>
  <c r="T126" i="3" s="1"/>
  <c r="Q126" i="3"/>
  <c r="R126" i="3" s="1"/>
  <c r="S118" i="3"/>
  <c r="T118" i="3" s="1"/>
  <c r="Q118" i="3"/>
  <c r="R118" i="3" s="1"/>
  <c r="Q110" i="3"/>
  <c r="R110" i="3" s="1"/>
  <c r="S110" i="3"/>
  <c r="T110" i="3" s="1"/>
  <c r="S102" i="3"/>
  <c r="T102" i="3" s="1"/>
  <c r="Q102" i="3"/>
  <c r="R102" i="3" s="1"/>
  <c r="Q94" i="3"/>
  <c r="R94" i="3" s="1"/>
  <c r="S94" i="3"/>
  <c r="T94" i="3" s="1"/>
  <c r="Q86" i="3"/>
  <c r="R86" i="3" s="1"/>
  <c r="S86" i="3"/>
  <c r="T86" i="3" s="1"/>
  <c r="Q78" i="3"/>
  <c r="R78" i="3" s="1"/>
  <c r="S78" i="3"/>
  <c r="T78" i="3" s="1"/>
  <c r="Q70" i="3"/>
  <c r="R70" i="3" s="1"/>
  <c r="S70" i="3"/>
  <c r="T70" i="3" s="1"/>
  <c r="Q62" i="3"/>
  <c r="R62" i="3" s="1"/>
  <c r="S62" i="3"/>
  <c r="T62" i="3" s="1"/>
  <c r="Q54" i="3"/>
  <c r="R54" i="3" s="1"/>
  <c r="S54" i="3"/>
  <c r="T54" i="3" s="1"/>
  <c r="S46" i="3"/>
  <c r="T46" i="3" s="1"/>
  <c r="Q46" i="3"/>
  <c r="R46" i="3" s="1"/>
  <c r="S38" i="3"/>
  <c r="T38" i="3" s="1"/>
  <c r="Q38" i="3"/>
  <c r="R38" i="3" s="1"/>
  <c r="S30" i="3"/>
  <c r="T30" i="3" s="1"/>
  <c r="Q30" i="3"/>
  <c r="R30" i="3" s="1"/>
  <c r="Q22" i="3"/>
  <c r="R22" i="3" s="1"/>
  <c r="S22" i="3"/>
  <c r="T22" i="3" s="1"/>
  <c r="Q14" i="3"/>
  <c r="R14" i="3" s="1"/>
  <c r="S14" i="3"/>
  <c r="T14" i="3" s="1"/>
  <c r="S165" i="3"/>
  <c r="T165" i="3" s="1"/>
  <c r="Q165" i="3"/>
  <c r="R165" i="3" s="1"/>
  <c r="S6" i="3"/>
  <c r="T6" i="3" s="1"/>
  <c r="Q6" i="3"/>
  <c r="R6" i="3" s="1"/>
  <c r="Q177" i="3"/>
  <c r="R177" i="3" s="1"/>
  <c r="S177" i="3"/>
  <c r="T177" i="3" s="1"/>
  <c r="Q137" i="3"/>
  <c r="R137" i="3" s="1"/>
  <c r="S137" i="3"/>
  <c r="T137" i="3" s="1"/>
  <c r="S207" i="3"/>
  <c r="T207" i="3" s="1"/>
  <c r="Q207" i="3"/>
  <c r="R207" i="3" s="1"/>
  <c r="Q167" i="3"/>
  <c r="R167" i="3" s="1"/>
  <c r="S167" i="3"/>
  <c r="T167" i="3" s="1"/>
  <c r="Q190" i="3"/>
  <c r="R190" i="3" s="1"/>
  <c r="S190" i="3"/>
  <c r="T190" i="3" s="1"/>
  <c r="S158" i="3"/>
  <c r="T158" i="3" s="1"/>
  <c r="Q158" i="3"/>
  <c r="R158" i="3" s="1"/>
  <c r="S173" i="3"/>
  <c r="T173" i="3" s="1"/>
  <c r="Q173" i="3"/>
  <c r="R173" i="3" s="1"/>
  <c r="S157" i="3"/>
  <c r="T157" i="3" s="1"/>
  <c r="Q157" i="3"/>
  <c r="R157" i="3" s="1"/>
  <c r="S117" i="3"/>
  <c r="T117" i="3" s="1"/>
  <c r="Q117" i="3"/>
  <c r="R117" i="3" s="1"/>
  <c r="S85" i="3"/>
  <c r="T85" i="3" s="1"/>
  <c r="Q85" i="3"/>
  <c r="R85" i="3" s="1"/>
  <c r="S77" i="3"/>
  <c r="T77" i="3" s="1"/>
  <c r="Q77" i="3"/>
  <c r="R77" i="3" s="1"/>
  <c r="S61" i="3"/>
  <c r="T61" i="3" s="1"/>
  <c r="Q61" i="3"/>
  <c r="R61" i="3" s="1"/>
  <c r="S53" i="3"/>
  <c r="T53" i="3" s="1"/>
  <c r="Q53" i="3"/>
  <c r="R53" i="3" s="1"/>
  <c r="S45" i="3"/>
  <c r="T45" i="3" s="1"/>
  <c r="Q45" i="3"/>
  <c r="R45" i="3" s="1"/>
  <c r="S37" i="3"/>
  <c r="T37" i="3" s="1"/>
  <c r="Q37" i="3"/>
  <c r="R37" i="3" s="1"/>
  <c r="S21" i="3"/>
  <c r="T21" i="3" s="1"/>
  <c r="Q21" i="3"/>
  <c r="R21" i="3" s="1"/>
  <c r="S13" i="3"/>
  <c r="T13" i="3" s="1"/>
  <c r="Q13" i="3"/>
  <c r="R13" i="3" s="1"/>
  <c r="Q188" i="3"/>
  <c r="R188" i="3" s="1"/>
  <c r="S188" i="3"/>
  <c r="T188" i="3" s="1"/>
  <c r="Q180" i="3"/>
  <c r="R180" i="3" s="1"/>
  <c r="S180" i="3"/>
  <c r="T180" i="3" s="1"/>
  <c r="S172" i="3"/>
  <c r="T172" i="3" s="1"/>
  <c r="Q172" i="3"/>
  <c r="R172" i="3" s="1"/>
  <c r="Q164" i="3"/>
  <c r="R164" i="3" s="1"/>
  <c r="S164" i="3"/>
  <c r="T164" i="3" s="1"/>
  <c r="Q156" i="3"/>
  <c r="R156" i="3" s="1"/>
  <c r="S156" i="3"/>
  <c r="T156" i="3" s="1"/>
  <c r="Q148" i="3"/>
  <c r="R148" i="3" s="1"/>
  <c r="S148" i="3"/>
  <c r="T148" i="3" s="1"/>
  <c r="Q140" i="3"/>
  <c r="R140" i="3" s="1"/>
  <c r="S140" i="3"/>
  <c r="T140" i="3" s="1"/>
  <c r="S132" i="3"/>
  <c r="T132" i="3" s="1"/>
  <c r="Q132" i="3"/>
  <c r="R132" i="3" s="1"/>
  <c r="Q124" i="3"/>
  <c r="R124" i="3" s="1"/>
  <c r="S124" i="3"/>
  <c r="T124" i="3" s="1"/>
  <c r="Q116" i="3"/>
  <c r="R116" i="3" s="1"/>
  <c r="S116" i="3"/>
  <c r="T116" i="3" s="1"/>
  <c r="S108" i="3"/>
  <c r="T108" i="3" s="1"/>
  <c r="Q108" i="3"/>
  <c r="R108" i="3" s="1"/>
  <c r="Q100" i="3"/>
  <c r="R100" i="3" s="1"/>
  <c r="S100" i="3"/>
  <c r="T100" i="3" s="1"/>
  <c r="Q92" i="3"/>
  <c r="R92" i="3" s="1"/>
  <c r="S92" i="3"/>
  <c r="T92" i="3" s="1"/>
  <c r="Q84" i="3"/>
  <c r="R84" i="3" s="1"/>
  <c r="S84" i="3"/>
  <c r="T84" i="3" s="1"/>
  <c r="Q76" i="3"/>
  <c r="R76" i="3" s="1"/>
  <c r="S76" i="3"/>
  <c r="T76" i="3" s="1"/>
  <c r="Q68" i="3"/>
  <c r="R68" i="3" s="1"/>
  <c r="S68" i="3"/>
  <c r="T68" i="3" s="1"/>
  <c r="Q60" i="3"/>
  <c r="R60" i="3" s="1"/>
  <c r="S60" i="3"/>
  <c r="T60" i="3" s="1"/>
  <c r="Q52" i="3"/>
  <c r="R52" i="3" s="1"/>
  <c r="S52" i="3"/>
  <c r="T52" i="3" s="1"/>
  <c r="Q44" i="3"/>
  <c r="R44" i="3" s="1"/>
  <c r="S44" i="3"/>
  <c r="T44" i="3" s="1"/>
  <c r="Q36" i="3"/>
  <c r="R36" i="3" s="1"/>
  <c r="S36" i="3"/>
  <c r="T36" i="3" s="1"/>
  <c r="Q28" i="3"/>
  <c r="R28" i="3" s="1"/>
  <c r="S28" i="3"/>
  <c r="T28" i="3" s="1"/>
  <c r="Q19" i="3"/>
  <c r="R19" i="3" s="1"/>
  <c r="Q11" i="3"/>
  <c r="R11" i="3" s="1"/>
  <c r="S20" i="3"/>
  <c r="T20" i="3" s="1"/>
  <c r="S12" i="3"/>
  <c r="T12" i="3" s="1"/>
  <c r="S214" i="3"/>
  <c r="T214" i="3" s="1"/>
  <c r="S206" i="3"/>
  <c r="T206" i="3" s="1"/>
  <c r="S198" i="3"/>
  <c r="T198" i="3" s="1"/>
  <c r="Q170" i="3"/>
  <c r="R170" i="3" s="1"/>
  <c r="S170" i="3"/>
  <c r="T170" i="3" s="1"/>
  <c r="Q74" i="3"/>
  <c r="R74" i="3" s="1"/>
  <c r="S74" i="3"/>
  <c r="T74" i="3" s="1"/>
  <c r="Q34" i="3"/>
  <c r="R34" i="3" s="1"/>
  <c r="S34" i="3"/>
  <c r="T34" i="3" s="1"/>
  <c r="Q82" i="3"/>
  <c r="R82" i="3" s="1"/>
  <c r="S82" i="3"/>
  <c r="T82" i="3" s="1"/>
  <c r="Q178" i="3"/>
  <c r="R178" i="3" s="1"/>
  <c r="S178" i="3"/>
  <c r="T178" i="3" s="1"/>
  <c r="Q162" i="3"/>
  <c r="R162" i="3" s="1"/>
  <c r="S162" i="3"/>
  <c r="T162" i="3" s="1"/>
  <c r="Q149" i="3"/>
  <c r="R149" i="3" s="1"/>
  <c r="Q104" i="3"/>
  <c r="R104" i="3" s="1"/>
  <c r="Q101" i="3"/>
  <c r="R101" i="3" s="1"/>
  <c r="Q69" i="3"/>
  <c r="R69" i="3" s="1"/>
  <c r="Q29" i="3"/>
  <c r="R29" i="3" s="1"/>
  <c r="Q130" i="3"/>
  <c r="R130" i="3" s="1"/>
  <c r="S130" i="3"/>
  <c r="T130" i="3" s="1"/>
  <c r="Q122" i="3"/>
  <c r="R122" i="3" s="1"/>
  <c r="S122" i="3"/>
  <c r="T122" i="3" s="1"/>
  <c r="Q114" i="3"/>
  <c r="R114" i="3" s="1"/>
  <c r="S114" i="3"/>
  <c r="T114" i="3" s="1"/>
  <c r="S212" i="3"/>
  <c r="T212" i="3" s="1"/>
  <c r="S204" i="3"/>
  <c r="T204" i="3" s="1"/>
  <c r="S196" i="3"/>
  <c r="T196" i="3" s="1"/>
  <c r="Q154" i="3"/>
  <c r="R154" i="3" s="1"/>
  <c r="S154" i="3"/>
  <c r="T154" i="3" s="1"/>
  <c r="Q141" i="3"/>
  <c r="R141" i="3" s="1"/>
  <c r="Q136" i="3"/>
  <c r="R136" i="3" s="1"/>
  <c r="Q133" i="3"/>
  <c r="R133" i="3" s="1"/>
  <c r="Q106" i="3"/>
  <c r="R106" i="3" s="1"/>
  <c r="S106" i="3"/>
  <c r="T106" i="3" s="1"/>
  <c r="Q96" i="3"/>
  <c r="R96" i="3" s="1"/>
  <c r="Q93" i="3"/>
  <c r="R93" i="3" s="1"/>
  <c r="Q24" i="3"/>
  <c r="R24" i="3" s="1"/>
  <c r="Q186" i="3"/>
  <c r="R186" i="3" s="1"/>
  <c r="S186" i="3"/>
  <c r="T186" i="3" s="1"/>
  <c r="Q146" i="3"/>
  <c r="R146" i="3" s="1"/>
  <c r="S146" i="3"/>
  <c r="T146" i="3" s="1"/>
  <c r="Q98" i="3"/>
  <c r="R98" i="3" s="1"/>
  <c r="S98" i="3"/>
  <c r="T98" i="3" s="1"/>
  <c r="Q26" i="3"/>
  <c r="R26" i="3" s="1"/>
  <c r="S26" i="3"/>
  <c r="T26" i="3" s="1"/>
  <c r="Q42" i="3"/>
  <c r="R42" i="3" s="1"/>
  <c r="S42" i="3"/>
  <c r="T42" i="3" s="1"/>
  <c r="Q189" i="3"/>
  <c r="R189" i="3" s="1"/>
  <c r="Q176" i="3"/>
  <c r="R176" i="3" s="1"/>
  <c r="Q138" i="3"/>
  <c r="R138" i="3" s="1"/>
  <c r="S138" i="3"/>
  <c r="T138" i="3" s="1"/>
  <c r="Q128" i="3"/>
  <c r="R128" i="3" s="1"/>
  <c r="Q125" i="3"/>
  <c r="R125" i="3" s="1"/>
  <c r="Q90" i="3"/>
  <c r="R90" i="3" s="1"/>
  <c r="S90" i="3"/>
  <c r="T90" i="3" s="1"/>
  <c r="Q66" i="3"/>
  <c r="R66" i="3" s="1"/>
  <c r="S66" i="3"/>
  <c r="T66" i="3" s="1"/>
  <c r="Q58" i="3"/>
  <c r="R58" i="3" s="1"/>
  <c r="S58" i="3"/>
  <c r="T58" i="3" s="1"/>
  <c r="Q50" i="3"/>
  <c r="R50" i="3" s="1"/>
  <c r="S50" i="3"/>
  <c r="T50" i="3" s="1"/>
  <c r="S135" i="3"/>
  <c r="T135" i="3" s="1"/>
  <c r="S127" i="3"/>
  <c r="T127" i="3" s="1"/>
  <c r="S103" i="3"/>
  <c r="T103" i="3" s="1"/>
  <c r="S95" i="3"/>
  <c r="T95" i="3" s="1"/>
  <c r="S87" i="3"/>
  <c r="T87" i="3" s="1"/>
  <c r="S63" i="3"/>
  <c r="T63" i="3" s="1"/>
  <c r="S55" i="3"/>
  <c r="T55" i="3" s="1"/>
  <c r="S23" i="3"/>
  <c r="T23" i="3" s="1"/>
  <c r="S18" i="3"/>
  <c r="T18" i="3" s="1"/>
  <c r="S10" i="3"/>
  <c r="T10" i="3" s="1"/>
  <c r="T1" i="3" l="1"/>
  <c r="Q306" i="2" l="1"/>
  <c r="Q307" i="2"/>
  <c r="Q305" i="2"/>
  <c r="P305" i="2"/>
  <c r="P306" i="2"/>
  <c r="P307" i="2"/>
  <c r="P302" i="2"/>
  <c r="O306" i="2"/>
  <c r="O307" i="2"/>
  <c r="O305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6" i="2"/>
  <c r="A3" i="2" l="1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6" i="2"/>
  <c r="B3" i="2"/>
  <c r="C3" i="2"/>
  <c r="D3" i="2"/>
  <c r="E3" i="2"/>
  <c r="F3" i="2"/>
  <c r="G3" i="2"/>
  <c r="H3" i="2"/>
  <c r="I3" i="2"/>
  <c r="J3" i="2"/>
  <c r="K3" i="2"/>
  <c r="L3" i="2"/>
  <c r="M3" i="2"/>
  <c r="N3" i="2"/>
  <c r="S36" i="2" l="1"/>
  <c r="T36" i="2" s="1"/>
  <c r="Q36" i="2"/>
  <c r="R36" i="2" s="1"/>
  <c r="S76" i="2"/>
  <c r="T76" i="2" s="1"/>
  <c r="Q76" i="2"/>
  <c r="R76" i="2" s="1"/>
  <c r="S108" i="2"/>
  <c r="T108" i="2" s="1"/>
  <c r="Q108" i="2"/>
  <c r="R108" i="2" s="1"/>
  <c r="S140" i="2"/>
  <c r="T140" i="2" s="1"/>
  <c r="Q140" i="2"/>
  <c r="R140" i="2" s="1"/>
  <c r="S180" i="2"/>
  <c r="T180" i="2" s="1"/>
  <c r="Q180" i="2"/>
  <c r="R180" i="2" s="1"/>
  <c r="S212" i="2"/>
  <c r="T212" i="2" s="1"/>
  <c r="Q212" i="2"/>
  <c r="R212" i="2" s="1"/>
  <c r="S244" i="2"/>
  <c r="T244" i="2" s="1"/>
  <c r="Q244" i="2"/>
  <c r="R244" i="2" s="1"/>
  <c r="S276" i="2"/>
  <c r="T276" i="2" s="1"/>
  <c r="Q276" i="2"/>
  <c r="R276" i="2" s="1"/>
  <c r="S300" i="2"/>
  <c r="T300" i="2" s="1"/>
  <c r="Q300" i="2"/>
  <c r="R300" i="2" s="1"/>
  <c r="S15" i="2"/>
  <c r="T15" i="2" s="1"/>
  <c r="Q15" i="2"/>
  <c r="R15" i="2" s="1"/>
  <c r="S45" i="2"/>
  <c r="T45" i="2" s="1"/>
  <c r="Q45" i="2"/>
  <c r="R45" i="2" s="1"/>
  <c r="S77" i="2"/>
  <c r="T77" i="2" s="1"/>
  <c r="Q77" i="2"/>
  <c r="R77" i="2" s="1"/>
  <c r="S117" i="2"/>
  <c r="T117" i="2" s="1"/>
  <c r="Q117" i="2"/>
  <c r="R117" i="2" s="1"/>
  <c r="S149" i="2"/>
  <c r="T149" i="2" s="1"/>
  <c r="Q149" i="2"/>
  <c r="R149" i="2" s="1"/>
  <c r="S181" i="2"/>
  <c r="T181" i="2" s="1"/>
  <c r="Q181" i="2"/>
  <c r="R181" i="2" s="1"/>
  <c r="S213" i="2"/>
  <c r="T213" i="2" s="1"/>
  <c r="Q213" i="2"/>
  <c r="R213" i="2" s="1"/>
  <c r="S245" i="2"/>
  <c r="T245" i="2" s="1"/>
  <c r="Q245" i="2"/>
  <c r="R245" i="2" s="1"/>
  <c r="S277" i="2"/>
  <c r="T277" i="2" s="1"/>
  <c r="Q277" i="2"/>
  <c r="R277" i="2" s="1"/>
  <c r="S14" i="2"/>
  <c r="T14" i="2" s="1"/>
  <c r="Q14" i="2"/>
  <c r="R14" i="2" s="1"/>
  <c r="S54" i="2"/>
  <c r="T54" i="2" s="1"/>
  <c r="Q54" i="2"/>
  <c r="R54" i="2" s="1"/>
  <c r="S86" i="2"/>
  <c r="T86" i="2" s="1"/>
  <c r="Q86" i="2"/>
  <c r="R86" i="2" s="1"/>
  <c r="S118" i="2"/>
  <c r="T118" i="2" s="1"/>
  <c r="Q118" i="2"/>
  <c r="R118" i="2" s="1"/>
  <c r="S150" i="2"/>
  <c r="T150" i="2" s="1"/>
  <c r="Q150" i="2"/>
  <c r="R150" i="2" s="1"/>
  <c r="S174" i="2"/>
  <c r="T174" i="2" s="1"/>
  <c r="Q174" i="2"/>
  <c r="R174" i="2" s="1"/>
  <c r="S206" i="2"/>
  <c r="T206" i="2" s="1"/>
  <c r="Q206" i="2"/>
  <c r="R206" i="2" s="1"/>
  <c r="S238" i="2"/>
  <c r="T238" i="2" s="1"/>
  <c r="Q238" i="2"/>
  <c r="R238" i="2" s="1"/>
  <c r="S278" i="2"/>
  <c r="T278" i="2" s="1"/>
  <c r="Q278" i="2"/>
  <c r="R278" i="2" s="1"/>
  <c r="S31" i="2"/>
  <c r="T31" i="2" s="1"/>
  <c r="Q31" i="2"/>
  <c r="R31" i="2" s="1"/>
  <c r="S71" i="2"/>
  <c r="T71" i="2" s="1"/>
  <c r="Q71" i="2"/>
  <c r="R71" i="2" s="1"/>
  <c r="S103" i="2"/>
  <c r="T103" i="2" s="1"/>
  <c r="Q103" i="2"/>
  <c r="R103" i="2" s="1"/>
  <c r="S135" i="2"/>
  <c r="T135" i="2" s="1"/>
  <c r="Q135" i="2"/>
  <c r="R135" i="2" s="1"/>
  <c r="S167" i="2"/>
  <c r="T167" i="2" s="1"/>
  <c r="Q167" i="2"/>
  <c r="R167" i="2" s="1"/>
  <c r="S199" i="2"/>
  <c r="T199" i="2" s="1"/>
  <c r="Q199" i="2"/>
  <c r="R199" i="2" s="1"/>
  <c r="S231" i="2"/>
  <c r="T231" i="2" s="1"/>
  <c r="Q231" i="2"/>
  <c r="R231" i="2" s="1"/>
  <c r="S263" i="2"/>
  <c r="T263" i="2" s="1"/>
  <c r="Q263" i="2"/>
  <c r="R263" i="2" s="1"/>
  <c r="S295" i="2"/>
  <c r="T295" i="2" s="1"/>
  <c r="Q295" i="2"/>
  <c r="R295" i="2" s="1"/>
  <c r="S20" i="2"/>
  <c r="T20" i="2" s="1"/>
  <c r="Q20" i="2"/>
  <c r="R20" i="2" s="1"/>
  <c r="S12" i="2"/>
  <c r="T12" i="2" s="1"/>
  <c r="Q12" i="2"/>
  <c r="R12" i="2" s="1"/>
  <c r="S24" i="2"/>
  <c r="T24" i="2" s="1"/>
  <c r="Q24" i="2"/>
  <c r="R24" i="2" s="1"/>
  <c r="S32" i="2"/>
  <c r="T32" i="2" s="1"/>
  <c r="Q32" i="2"/>
  <c r="R32" i="2" s="1"/>
  <c r="S40" i="2"/>
  <c r="T40" i="2" s="1"/>
  <c r="Q40" i="2"/>
  <c r="R40" i="2" s="1"/>
  <c r="S48" i="2"/>
  <c r="T48" i="2" s="1"/>
  <c r="Q48" i="2"/>
  <c r="R48" i="2" s="1"/>
  <c r="S56" i="2"/>
  <c r="T56" i="2" s="1"/>
  <c r="Q56" i="2"/>
  <c r="R56" i="2" s="1"/>
  <c r="S64" i="2"/>
  <c r="T64" i="2" s="1"/>
  <c r="Q64" i="2"/>
  <c r="R64" i="2" s="1"/>
  <c r="S72" i="2"/>
  <c r="T72" i="2" s="1"/>
  <c r="Q72" i="2"/>
  <c r="R72" i="2" s="1"/>
  <c r="Q80" i="2"/>
  <c r="R80" i="2" s="1"/>
  <c r="S80" i="2"/>
  <c r="T80" i="2" s="1"/>
  <c r="S88" i="2"/>
  <c r="T88" i="2" s="1"/>
  <c r="Q88" i="2"/>
  <c r="R88" i="2" s="1"/>
  <c r="S96" i="2"/>
  <c r="T96" i="2" s="1"/>
  <c r="Q96" i="2"/>
  <c r="R96" i="2" s="1"/>
  <c r="S104" i="2"/>
  <c r="T104" i="2" s="1"/>
  <c r="Q104" i="2"/>
  <c r="R104" i="2" s="1"/>
  <c r="S112" i="2"/>
  <c r="T112" i="2" s="1"/>
  <c r="Q112" i="2"/>
  <c r="R112" i="2" s="1"/>
  <c r="S120" i="2"/>
  <c r="T120" i="2" s="1"/>
  <c r="Q120" i="2"/>
  <c r="R120" i="2" s="1"/>
  <c r="S128" i="2"/>
  <c r="T128" i="2" s="1"/>
  <c r="Q128" i="2"/>
  <c r="R128" i="2" s="1"/>
  <c r="S136" i="2"/>
  <c r="T136" i="2" s="1"/>
  <c r="Q136" i="2"/>
  <c r="R136" i="2" s="1"/>
  <c r="Q144" i="2"/>
  <c r="R144" i="2" s="1"/>
  <c r="S144" i="2"/>
  <c r="T144" i="2" s="1"/>
  <c r="S152" i="2"/>
  <c r="T152" i="2" s="1"/>
  <c r="Q152" i="2"/>
  <c r="R152" i="2" s="1"/>
  <c r="S160" i="2"/>
  <c r="T160" i="2" s="1"/>
  <c r="Q160" i="2"/>
  <c r="R160" i="2" s="1"/>
  <c r="S168" i="2"/>
  <c r="T168" i="2" s="1"/>
  <c r="Q168" i="2"/>
  <c r="R168" i="2" s="1"/>
  <c r="S176" i="2"/>
  <c r="T176" i="2" s="1"/>
  <c r="Q176" i="2"/>
  <c r="R176" i="2" s="1"/>
  <c r="S184" i="2"/>
  <c r="T184" i="2" s="1"/>
  <c r="Q184" i="2"/>
  <c r="R184" i="2" s="1"/>
  <c r="S192" i="2"/>
  <c r="T192" i="2" s="1"/>
  <c r="Q192" i="2"/>
  <c r="R192" i="2" s="1"/>
  <c r="S200" i="2"/>
  <c r="T200" i="2" s="1"/>
  <c r="Q200" i="2"/>
  <c r="R200" i="2" s="1"/>
  <c r="Q208" i="2"/>
  <c r="R208" i="2" s="1"/>
  <c r="S208" i="2"/>
  <c r="T208" i="2" s="1"/>
  <c r="S216" i="2"/>
  <c r="T216" i="2" s="1"/>
  <c r="Q216" i="2"/>
  <c r="R216" i="2" s="1"/>
  <c r="S224" i="2"/>
  <c r="T224" i="2" s="1"/>
  <c r="Q224" i="2"/>
  <c r="R224" i="2" s="1"/>
  <c r="S232" i="2"/>
  <c r="T232" i="2" s="1"/>
  <c r="Q232" i="2"/>
  <c r="R232" i="2" s="1"/>
  <c r="S240" i="2"/>
  <c r="T240" i="2" s="1"/>
  <c r="Q240" i="2"/>
  <c r="R240" i="2" s="1"/>
  <c r="S248" i="2"/>
  <c r="T248" i="2" s="1"/>
  <c r="Q248" i="2"/>
  <c r="R248" i="2" s="1"/>
  <c r="Q256" i="2"/>
  <c r="R256" i="2" s="1"/>
  <c r="S256" i="2"/>
  <c r="T256" i="2" s="1"/>
  <c r="S264" i="2"/>
  <c r="T264" i="2" s="1"/>
  <c r="Q264" i="2"/>
  <c r="R264" i="2" s="1"/>
  <c r="S272" i="2"/>
  <c r="T272" i="2" s="1"/>
  <c r="Q272" i="2"/>
  <c r="R272" i="2" s="1"/>
  <c r="Q280" i="2"/>
  <c r="R280" i="2" s="1"/>
  <c r="S280" i="2"/>
  <c r="T280" i="2" s="1"/>
  <c r="S288" i="2"/>
  <c r="T288" i="2" s="1"/>
  <c r="Q288" i="2"/>
  <c r="R288" i="2" s="1"/>
  <c r="Q296" i="2"/>
  <c r="R296" i="2" s="1"/>
  <c r="S296" i="2"/>
  <c r="T296" i="2" s="1"/>
  <c r="Q8" i="2"/>
  <c r="R8" i="2" s="1"/>
  <c r="S8" i="2"/>
  <c r="T8" i="2" s="1"/>
  <c r="S44" i="2"/>
  <c r="T44" i="2" s="1"/>
  <c r="Q44" i="2"/>
  <c r="R44" i="2" s="1"/>
  <c r="S68" i="2"/>
  <c r="T68" i="2" s="1"/>
  <c r="Q68" i="2"/>
  <c r="R68" i="2" s="1"/>
  <c r="S100" i="2"/>
  <c r="T100" i="2" s="1"/>
  <c r="Q100" i="2"/>
  <c r="R100" i="2" s="1"/>
  <c r="S132" i="2"/>
  <c r="T132" i="2" s="1"/>
  <c r="Q132" i="2"/>
  <c r="R132" i="2" s="1"/>
  <c r="S164" i="2"/>
  <c r="T164" i="2" s="1"/>
  <c r="Q164" i="2"/>
  <c r="R164" i="2" s="1"/>
  <c r="S196" i="2"/>
  <c r="T196" i="2" s="1"/>
  <c r="Q196" i="2"/>
  <c r="R196" i="2" s="1"/>
  <c r="S220" i="2"/>
  <c r="T220" i="2" s="1"/>
  <c r="Q220" i="2"/>
  <c r="R220" i="2" s="1"/>
  <c r="S252" i="2"/>
  <c r="T252" i="2" s="1"/>
  <c r="Q252" i="2"/>
  <c r="R252" i="2" s="1"/>
  <c r="S284" i="2"/>
  <c r="T284" i="2" s="1"/>
  <c r="Q284" i="2"/>
  <c r="R284" i="2" s="1"/>
  <c r="S7" i="2"/>
  <c r="T7" i="2" s="1"/>
  <c r="Q7" i="2"/>
  <c r="R7" i="2" s="1"/>
  <c r="S53" i="2"/>
  <c r="T53" i="2" s="1"/>
  <c r="Q53" i="2"/>
  <c r="R53" i="2" s="1"/>
  <c r="S85" i="2"/>
  <c r="T85" i="2" s="1"/>
  <c r="Q85" i="2"/>
  <c r="R85" i="2" s="1"/>
  <c r="S109" i="2"/>
  <c r="T109" i="2" s="1"/>
  <c r="Q109" i="2"/>
  <c r="R109" i="2" s="1"/>
  <c r="S141" i="2"/>
  <c r="T141" i="2" s="1"/>
  <c r="Q141" i="2"/>
  <c r="R141" i="2" s="1"/>
  <c r="S173" i="2"/>
  <c r="T173" i="2" s="1"/>
  <c r="Q173" i="2"/>
  <c r="R173" i="2" s="1"/>
  <c r="S205" i="2"/>
  <c r="T205" i="2" s="1"/>
  <c r="Q205" i="2"/>
  <c r="R205" i="2" s="1"/>
  <c r="S229" i="2"/>
  <c r="T229" i="2" s="1"/>
  <c r="Q229" i="2"/>
  <c r="R229" i="2" s="1"/>
  <c r="S261" i="2"/>
  <c r="T261" i="2" s="1"/>
  <c r="Q261" i="2"/>
  <c r="R261" i="2" s="1"/>
  <c r="S293" i="2"/>
  <c r="T293" i="2" s="1"/>
  <c r="Q293" i="2"/>
  <c r="R293" i="2" s="1"/>
  <c r="S6" i="2"/>
  <c r="T6" i="2" s="1"/>
  <c r="Q6" i="2"/>
  <c r="R6" i="2" s="1"/>
  <c r="S38" i="2"/>
  <c r="T38" i="2" s="1"/>
  <c r="Q38" i="2"/>
  <c r="R38" i="2" s="1"/>
  <c r="S70" i="2"/>
  <c r="T70" i="2" s="1"/>
  <c r="Q70" i="2"/>
  <c r="R70" i="2" s="1"/>
  <c r="S102" i="2"/>
  <c r="T102" i="2" s="1"/>
  <c r="Q102" i="2"/>
  <c r="R102" i="2" s="1"/>
  <c r="S134" i="2"/>
  <c r="T134" i="2" s="1"/>
  <c r="Q134" i="2"/>
  <c r="R134" i="2" s="1"/>
  <c r="S158" i="2"/>
  <c r="T158" i="2" s="1"/>
  <c r="Q158" i="2"/>
  <c r="R158" i="2" s="1"/>
  <c r="S190" i="2"/>
  <c r="T190" i="2" s="1"/>
  <c r="Q190" i="2"/>
  <c r="R190" i="2" s="1"/>
  <c r="S222" i="2"/>
  <c r="T222" i="2" s="1"/>
  <c r="Q222" i="2"/>
  <c r="R222" i="2" s="1"/>
  <c r="S254" i="2"/>
  <c r="T254" i="2" s="1"/>
  <c r="Q254" i="2"/>
  <c r="R254" i="2" s="1"/>
  <c r="S286" i="2"/>
  <c r="T286" i="2" s="1"/>
  <c r="Q286" i="2"/>
  <c r="R286" i="2" s="1"/>
  <c r="S23" i="2"/>
  <c r="T23" i="2" s="1"/>
  <c r="Q23" i="2"/>
  <c r="R23" i="2" s="1"/>
  <c r="S55" i="2"/>
  <c r="T55" i="2" s="1"/>
  <c r="Q55" i="2"/>
  <c r="R55" i="2" s="1"/>
  <c r="S87" i="2"/>
  <c r="T87" i="2" s="1"/>
  <c r="Q87" i="2"/>
  <c r="R87" i="2" s="1"/>
  <c r="S119" i="2"/>
  <c r="T119" i="2" s="1"/>
  <c r="Q119" i="2"/>
  <c r="R119" i="2" s="1"/>
  <c r="S151" i="2"/>
  <c r="T151" i="2" s="1"/>
  <c r="Q151" i="2"/>
  <c r="R151" i="2" s="1"/>
  <c r="S183" i="2"/>
  <c r="T183" i="2" s="1"/>
  <c r="Q183" i="2"/>
  <c r="R183" i="2" s="1"/>
  <c r="S215" i="2"/>
  <c r="T215" i="2" s="1"/>
  <c r="Q215" i="2"/>
  <c r="R215" i="2" s="1"/>
  <c r="S247" i="2"/>
  <c r="T247" i="2" s="1"/>
  <c r="Q247" i="2"/>
  <c r="R247" i="2" s="1"/>
  <c r="S287" i="2"/>
  <c r="T287" i="2" s="1"/>
  <c r="Q287" i="2"/>
  <c r="R287" i="2" s="1"/>
  <c r="S19" i="2"/>
  <c r="T19" i="2" s="1"/>
  <c r="Q19" i="2"/>
  <c r="R19" i="2" s="1"/>
  <c r="S11" i="2"/>
  <c r="T11" i="2" s="1"/>
  <c r="Q11" i="2"/>
  <c r="R11" i="2" s="1"/>
  <c r="S25" i="2"/>
  <c r="T25" i="2" s="1"/>
  <c r="Q25" i="2"/>
  <c r="R25" i="2" s="1"/>
  <c r="Q33" i="2"/>
  <c r="R33" i="2" s="1"/>
  <c r="S33" i="2"/>
  <c r="T33" i="2" s="1"/>
  <c r="Q41" i="2"/>
  <c r="R41" i="2" s="1"/>
  <c r="S41" i="2"/>
  <c r="T41" i="2" s="1"/>
  <c r="Q49" i="2"/>
  <c r="R49" i="2" s="1"/>
  <c r="S49" i="2"/>
  <c r="T49" i="2" s="1"/>
  <c r="Q57" i="2"/>
  <c r="R57" i="2" s="1"/>
  <c r="S57" i="2"/>
  <c r="T57" i="2" s="1"/>
  <c r="Q65" i="2"/>
  <c r="R65" i="2" s="1"/>
  <c r="S65" i="2"/>
  <c r="T65" i="2" s="1"/>
  <c r="Q73" i="2"/>
  <c r="R73" i="2" s="1"/>
  <c r="S73" i="2"/>
  <c r="T73" i="2" s="1"/>
  <c r="Q81" i="2"/>
  <c r="R81" i="2" s="1"/>
  <c r="S81" i="2"/>
  <c r="T81" i="2" s="1"/>
  <c r="Q89" i="2"/>
  <c r="R89" i="2" s="1"/>
  <c r="S89" i="2"/>
  <c r="T89" i="2" s="1"/>
  <c r="Q97" i="2"/>
  <c r="R97" i="2" s="1"/>
  <c r="S97" i="2"/>
  <c r="T97" i="2" s="1"/>
  <c r="Q105" i="2"/>
  <c r="R105" i="2" s="1"/>
  <c r="S105" i="2"/>
  <c r="T105" i="2" s="1"/>
  <c r="Q113" i="2"/>
  <c r="R113" i="2" s="1"/>
  <c r="S113" i="2"/>
  <c r="T113" i="2" s="1"/>
  <c r="Q121" i="2"/>
  <c r="R121" i="2" s="1"/>
  <c r="S121" i="2"/>
  <c r="T121" i="2" s="1"/>
  <c r="Q129" i="2"/>
  <c r="R129" i="2" s="1"/>
  <c r="S129" i="2"/>
  <c r="T129" i="2" s="1"/>
  <c r="Q137" i="2"/>
  <c r="R137" i="2" s="1"/>
  <c r="S137" i="2"/>
  <c r="T137" i="2" s="1"/>
  <c r="Q145" i="2"/>
  <c r="R145" i="2" s="1"/>
  <c r="S145" i="2"/>
  <c r="T145" i="2" s="1"/>
  <c r="Q153" i="2"/>
  <c r="R153" i="2" s="1"/>
  <c r="S153" i="2"/>
  <c r="T153" i="2" s="1"/>
  <c r="Q161" i="2"/>
  <c r="R161" i="2" s="1"/>
  <c r="S161" i="2"/>
  <c r="T161" i="2" s="1"/>
  <c r="Q169" i="2"/>
  <c r="R169" i="2" s="1"/>
  <c r="S169" i="2"/>
  <c r="T169" i="2" s="1"/>
  <c r="Q177" i="2"/>
  <c r="R177" i="2" s="1"/>
  <c r="S177" i="2"/>
  <c r="T177" i="2" s="1"/>
  <c r="Q185" i="2"/>
  <c r="R185" i="2" s="1"/>
  <c r="S185" i="2"/>
  <c r="T185" i="2" s="1"/>
  <c r="Q193" i="2"/>
  <c r="R193" i="2" s="1"/>
  <c r="S193" i="2"/>
  <c r="T193" i="2" s="1"/>
  <c r="Q201" i="2"/>
  <c r="R201" i="2" s="1"/>
  <c r="S201" i="2"/>
  <c r="T201" i="2" s="1"/>
  <c r="Q209" i="2"/>
  <c r="R209" i="2" s="1"/>
  <c r="S209" i="2"/>
  <c r="T209" i="2" s="1"/>
  <c r="Q217" i="2"/>
  <c r="R217" i="2" s="1"/>
  <c r="S217" i="2"/>
  <c r="T217" i="2" s="1"/>
  <c r="Q225" i="2"/>
  <c r="R225" i="2" s="1"/>
  <c r="S225" i="2"/>
  <c r="T225" i="2" s="1"/>
  <c r="Q233" i="2"/>
  <c r="R233" i="2" s="1"/>
  <c r="S233" i="2"/>
  <c r="T233" i="2" s="1"/>
  <c r="Q241" i="2"/>
  <c r="R241" i="2" s="1"/>
  <c r="S241" i="2"/>
  <c r="T241" i="2" s="1"/>
  <c r="Q249" i="2"/>
  <c r="R249" i="2" s="1"/>
  <c r="S249" i="2"/>
  <c r="T249" i="2" s="1"/>
  <c r="Q257" i="2"/>
  <c r="R257" i="2" s="1"/>
  <c r="S257" i="2"/>
  <c r="T257" i="2" s="1"/>
  <c r="Q265" i="2"/>
  <c r="R265" i="2" s="1"/>
  <c r="S265" i="2"/>
  <c r="T265" i="2" s="1"/>
  <c r="Q273" i="2"/>
  <c r="R273" i="2" s="1"/>
  <c r="S273" i="2"/>
  <c r="T273" i="2" s="1"/>
  <c r="S281" i="2"/>
  <c r="T281" i="2" s="1"/>
  <c r="Q281" i="2"/>
  <c r="R281" i="2" s="1"/>
  <c r="Q289" i="2"/>
  <c r="R289" i="2" s="1"/>
  <c r="S289" i="2"/>
  <c r="T289" i="2" s="1"/>
  <c r="Q297" i="2"/>
  <c r="R297" i="2" s="1"/>
  <c r="S297" i="2"/>
  <c r="T297" i="2" s="1"/>
  <c r="S28" i="2"/>
  <c r="T28" i="2" s="1"/>
  <c r="Q28" i="2"/>
  <c r="R28" i="2" s="1"/>
  <c r="S60" i="2"/>
  <c r="T60" i="2" s="1"/>
  <c r="Q60" i="2"/>
  <c r="R60" i="2" s="1"/>
  <c r="S92" i="2"/>
  <c r="T92" i="2" s="1"/>
  <c r="Q92" i="2"/>
  <c r="R92" i="2" s="1"/>
  <c r="S124" i="2"/>
  <c r="T124" i="2" s="1"/>
  <c r="Q124" i="2"/>
  <c r="R124" i="2" s="1"/>
  <c r="S148" i="2"/>
  <c r="T148" i="2" s="1"/>
  <c r="Q148" i="2"/>
  <c r="R148" i="2" s="1"/>
  <c r="S172" i="2"/>
  <c r="T172" i="2" s="1"/>
  <c r="Q172" i="2"/>
  <c r="R172" i="2" s="1"/>
  <c r="S204" i="2"/>
  <c r="T204" i="2" s="1"/>
  <c r="Q204" i="2"/>
  <c r="R204" i="2" s="1"/>
  <c r="S236" i="2"/>
  <c r="T236" i="2" s="1"/>
  <c r="Q236" i="2"/>
  <c r="R236" i="2" s="1"/>
  <c r="S260" i="2"/>
  <c r="T260" i="2" s="1"/>
  <c r="Q260" i="2"/>
  <c r="R260" i="2" s="1"/>
  <c r="S292" i="2"/>
  <c r="T292" i="2" s="1"/>
  <c r="Q292" i="2"/>
  <c r="R292" i="2" s="1"/>
  <c r="S37" i="2"/>
  <c r="T37" i="2" s="1"/>
  <c r="Q37" i="2"/>
  <c r="R37" i="2" s="1"/>
  <c r="S69" i="2"/>
  <c r="T69" i="2" s="1"/>
  <c r="Q69" i="2"/>
  <c r="R69" i="2" s="1"/>
  <c r="S101" i="2"/>
  <c r="T101" i="2" s="1"/>
  <c r="Q101" i="2"/>
  <c r="R101" i="2" s="1"/>
  <c r="S133" i="2"/>
  <c r="T133" i="2" s="1"/>
  <c r="Q133" i="2"/>
  <c r="R133" i="2" s="1"/>
  <c r="S165" i="2"/>
  <c r="T165" i="2" s="1"/>
  <c r="Q165" i="2"/>
  <c r="R165" i="2" s="1"/>
  <c r="S189" i="2"/>
  <c r="T189" i="2" s="1"/>
  <c r="Q189" i="2"/>
  <c r="R189" i="2" s="1"/>
  <c r="S221" i="2"/>
  <c r="T221" i="2" s="1"/>
  <c r="Q221" i="2"/>
  <c r="R221" i="2" s="1"/>
  <c r="S253" i="2"/>
  <c r="T253" i="2" s="1"/>
  <c r="Q253" i="2"/>
  <c r="R253" i="2" s="1"/>
  <c r="S285" i="2"/>
  <c r="T285" i="2" s="1"/>
  <c r="Q285" i="2"/>
  <c r="R285" i="2" s="1"/>
  <c r="S30" i="2"/>
  <c r="T30" i="2" s="1"/>
  <c r="Q30" i="2"/>
  <c r="R30" i="2" s="1"/>
  <c r="S62" i="2"/>
  <c r="T62" i="2" s="1"/>
  <c r="Q62" i="2"/>
  <c r="R62" i="2" s="1"/>
  <c r="S94" i="2"/>
  <c r="T94" i="2" s="1"/>
  <c r="Q94" i="2"/>
  <c r="R94" i="2" s="1"/>
  <c r="S126" i="2"/>
  <c r="T126" i="2" s="1"/>
  <c r="Q126" i="2"/>
  <c r="R126" i="2" s="1"/>
  <c r="S166" i="2"/>
  <c r="T166" i="2" s="1"/>
  <c r="Q166" i="2"/>
  <c r="R166" i="2" s="1"/>
  <c r="S198" i="2"/>
  <c r="T198" i="2" s="1"/>
  <c r="Q198" i="2"/>
  <c r="R198" i="2" s="1"/>
  <c r="S230" i="2"/>
  <c r="T230" i="2" s="1"/>
  <c r="Q230" i="2"/>
  <c r="R230" i="2" s="1"/>
  <c r="S262" i="2"/>
  <c r="T262" i="2" s="1"/>
  <c r="Q262" i="2"/>
  <c r="R262" i="2" s="1"/>
  <c r="S294" i="2"/>
  <c r="T294" i="2" s="1"/>
  <c r="Q294" i="2"/>
  <c r="R294" i="2" s="1"/>
  <c r="S21" i="2"/>
  <c r="T21" i="2" s="1"/>
  <c r="Q21" i="2"/>
  <c r="R21" i="2" s="1"/>
  <c r="S39" i="2"/>
  <c r="T39" i="2" s="1"/>
  <c r="Q39" i="2"/>
  <c r="R39" i="2" s="1"/>
  <c r="S63" i="2"/>
  <c r="T63" i="2" s="1"/>
  <c r="Q63" i="2"/>
  <c r="R63" i="2" s="1"/>
  <c r="S95" i="2"/>
  <c r="T95" i="2" s="1"/>
  <c r="Q95" i="2"/>
  <c r="R95" i="2" s="1"/>
  <c r="S127" i="2"/>
  <c r="T127" i="2" s="1"/>
  <c r="Q127" i="2"/>
  <c r="R127" i="2" s="1"/>
  <c r="S159" i="2"/>
  <c r="T159" i="2" s="1"/>
  <c r="Q159" i="2"/>
  <c r="R159" i="2" s="1"/>
  <c r="S191" i="2"/>
  <c r="T191" i="2" s="1"/>
  <c r="Q191" i="2"/>
  <c r="R191" i="2" s="1"/>
  <c r="S223" i="2"/>
  <c r="T223" i="2" s="1"/>
  <c r="Q223" i="2"/>
  <c r="R223" i="2" s="1"/>
  <c r="S255" i="2"/>
  <c r="T255" i="2" s="1"/>
  <c r="Q255" i="2"/>
  <c r="R255" i="2" s="1"/>
  <c r="S279" i="2"/>
  <c r="T279" i="2" s="1"/>
  <c r="Q279" i="2"/>
  <c r="R279" i="2" s="1"/>
  <c r="S18" i="2"/>
  <c r="T18" i="2" s="1"/>
  <c r="Q18" i="2"/>
  <c r="R18" i="2" s="1"/>
  <c r="S10" i="2"/>
  <c r="T10" i="2" s="1"/>
  <c r="Q10" i="2"/>
  <c r="R10" i="2" s="1"/>
  <c r="S26" i="2"/>
  <c r="T26" i="2" s="1"/>
  <c r="Q26" i="2"/>
  <c r="R26" i="2" s="1"/>
  <c r="S34" i="2"/>
  <c r="T34" i="2" s="1"/>
  <c r="Q34" i="2"/>
  <c r="R34" i="2" s="1"/>
  <c r="S42" i="2"/>
  <c r="T42" i="2" s="1"/>
  <c r="Q42" i="2"/>
  <c r="R42" i="2" s="1"/>
  <c r="S50" i="2"/>
  <c r="T50" i="2" s="1"/>
  <c r="Q50" i="2"/>
  <c r="R50" i="2" s="1"/>
  <c r="S58" i="2"/>
  <c r="T58" i="2" s="1"/>
  <c r="Q58" i="2"/>
  <c r="R58" i="2" s="1"/>
  <c r="S66" i="2"/>
  <c r="T66" i="2" s="1"/>
  <c r="Q66" i="2"/>
  <c r="R66" i="2" s="1"/>
  <c r="S74" i="2"/>
  <c r="T74" i="2" s="1"/>
  <c r="Q74" i="2"/>
  <c r="R74" i="2" s="1"/>
  <c r="S82" i="2"/>
  <c r="T82" i="2" s="1"/>
  <c r="Q82" i="2"/>
  <c r="R82" i="2" s="1"/>
  <c r="S90" i="2"/>
  <c r="T90" i="2" s="1"/>
  <c r="Q90" i="2"/>
  <c r="R90" i="2" s="1"/>
  <c r="S98" i="2"/>
  <c r="T98" i="2" s="1"/>
  <c r="Q98" i="2"/>
  <c r="R98" i="2" s="1"/>
  <c r="S106" i="2"/>
  <c r="T106" i="2" s="1"/>
  <c r="Q106" i="2"/>
  <c r="R106" i="2" s="1"/>
  <c r="S114" i="2"/>
  <c r="T114" i="2" s="1"/>
  <c r="Q114" i="2"/>
  <c r="R114" i="2" s="1"/>
  <c r="S122" i="2"/>
  <c r="T122" i="2" s="1"/>
  <c r="Q122" i="2"/>
  <c r="R122" i="2" s="1"/>
  <c r="S130" i="2"/>
  <c r="T130" i="2" s="1"/>
  <c r="Q130" i="2"/>
  <c r="R130" i="2" s="1"/>
  <c r="S138" i="2"/>
  <c r="T138" i="2" s="1"/>
  <c r="Q138" i="2"/>
  <c r="R138" i="2" s="1"/>
  <c r="S146" i="2"/>
  <c r="T146" i="2" s="1"/>
  <c r="Q146" i="2"/>
  <c r="R146" i="2" s="1"/>
  <c r="S154" i="2"/>
  <c r="T154" i="2" s="1"/>
  <c r="Q154" i="2"/>
  <c r="R154" i="2" s="1"/>
  <c r="S162" i="2"/>
  <c r="T162" i="2" s="1"/>
  <c r="Q162" i="2"/>
  <c r="R162" i="2" s="1"/>
  <c r="S170" i="2"/>
  <c r="T170" i="2" s="1"/>
  <c r="Q170" i="2"/>
  <c r="R170" i="2" s="1"/>
  <c r="S178" i="2"/>
  <c r="T178" i="2" s="1"/>
  <c r="Q178" i="2"/>
  <c r="R178" i="2" s="1"/>
  <c r="S186" i="2"/>
  <c r="T186" i="2" s="1"/>
  <c r="Q186" i="2"/>
  <c r="R186" i="2" s="1"/>
  <c r="S194" i="2"/>
  <c r="T194" i="2" s="1"/>
  <c r="Q194" i="2"/>
  <c r="R194" i="2" s="1"/>
  <c r="S202" i="2"/>
  <c r="T202" i="2" s="1"/>
  <c r="Q202" i="2"/>
  <c r="R202" i="2" s="1"/>
  <c r="S210" i="2"/>
  <c r="T210" i="2" s="1"/>
  <c r="Q210" i="2"/>
  <c r="R210" i="2" s="1"/>
  <c r="S218" i="2"/>
  <c r="T218" i="2" s="1"/>
  <c r="Q218" i="2"/>
  <c r="R218" i="2" s="1"/>
  <c r="Q226" i="2"/>
  <c r="R226" i="2" s="1"/>
  <c r="S226" i="2"/>
  <c r="T226" i="2" s="1"/>
  <c r="Q234" i="2"/>
  <c r="R234" i="2" s="1"/>
  <c r="S234" i="2"/>
  <c r="T234" i="2" s="1"/>
  <c r="Q242" i="2"/>
  <c r="R242" i="2" s="1"/>
  <c r="S242" i="2"/>
  <c r="T242" i="2" s="1"/>
  <c r="Q250" i="2"/>
  <c r="R250" i="2" s="1"/>
  <c r="S250" i="2"/>
  <c r="T250" i="2" s="1"/>
  <c r="S258" i="2"/>
  <c r="T258" i="2" s="1"/>
  <c r="Q258" i="2"/>
  <c r="R258" i="2" s="1"/>
  <c r="Q266" i="2"/>
  <c r="R266" i="2" s="1"/>
  <c r="S266" i="2"/>
  <c r="T266" i="2" s="1"/>
  <c r="Q274" i="2"/>
  <c r="R274" i="2" s="1"/>
  <c r="S274" i="2"/>
  <c r="T274" i="2" s="1"/>
  <c r="S282" i="2"/>
  <c r="T282" i="2" s="1"/>
  <c r="Q282" i="2"/>
  <c r="R282" i="2" s="1"/>
  <c r="Q290" i="2"/>
  <c r="R290" i="2" s="1"/>
  <c r="S290" i="2"/>
  <c r="T290" i="2" s="1"/>
  <c r="Q298" i="2"/>
  <c r="R298" i="2" s="1"/>
  <c r="S298" i="2"/>
  <c r="T298" i="2" s="1"/>
  <c r="Q16" i="2"/>
  <c r="R16" i="2" s="1"/>
  <c r="S16" i="2"/>
  <c r="T16" i="2" s="1"/>
  <c r="S52" i="2"/>
  <c r="T52" i="2" s="1"/>
  <c r="Q52" i="2"/>
  <c r="R52" i="2" s="1"/>
  <c r="S84" i="2"/>
  <c r="T84" i="2" s="1"/>
  <c r="Q84" i="2"/>
  <c r="R84" i="2" s="1"/>
  <c r="S116" i="2"/>
  <c r="T116" i="2" s="1"/>
  <c r="Q116" i="2"/>
  <c r="R116" i="2" s="1"/>
  <c r="S156" i="2"/>
  <c r="T156" i="2" s="1"/>
  <c r="Q156" i="2"/>
  <c r="R156" i="2" s="1"/>
  <c r="S188" i="2"/>
  <c r="T188" i="2" s="1"/>
  <c r="Q188" i="2"/>
  <c r="R188" i="2" s="1"/>
  <c r="S228" i="2"/>
  <c r="T228" i="2" s="1"/>
  <c r="Q228" i="2"/>
  <c r="R228" i="2" s="1"/>
  <c r="S268" i="2"/>
  <c r="T268" i="2" s="1"/>
  <c r="Q268" i="2"/>
  <c r="R268" i="2" s="1"/>
  <c r="S29" i="2"/>
  <c r="T29" i="2" s="1"/>
  <c r="Q29" i="2"/>
  <c r="R29" i="2" s="1"/>
  <c r="S61" i="2"/>
  <c r="T61" i="2" s="1"/>
  <c r="Q61" i="2"/>
  <c r="R61" i="2" s="1"/>
  <c r="S93" i="2"/>
  <c r="T93" i="2" s="1"/>
  <c r="Q93" i="2"/>
  <c r="R93" i="2" s="1"/>
  <c r="S125" i="2"/>
  <c r="T125" i="2" s="1"/>
  <c r="Q125" i="2"/>
  <c r="R125" i="2" s="1"/>
  <c r="S157" i="2"/>
  <c r="T157" i="2" s="1"/>
  <c r="Q157" i="2"/>
  <c r="R157" i="2" s="1"/>
  <c r="S197" i="2"/>
  <c r="T197" i="2" s="1"/>
  <c r="Q197" i="2"/>
  <c r="R197" i="2" s="1"/>
  <c r="S237" i="2"/>
  <c r="T237" i="2" s="1"/>
  <c r="Q237" i="2"/>
  <c r="R237" i="2" s="1"/>
  <c r="S269" i="2"/>
  <c r="T269" i="2" s="1"/>
  <c r="Q269" i="2"/>
  <c r="R269" i="2" s="1"/>
  <c r="S301" i="2"/>
  <c r="T301" i="2" s="1"/>
  <c r="Q301" i="2"/>
  <c r="R301" i="2" s="1"/>
  <c r="S22" i="2"/>
  <c r="T22" i="2" s="1"/>
  <c r="Q22" i="2"/>
  <c r="R22" i="2" s="1"/>
  <c r="S46" i="2"/>
  <c r="T46" i="2" s="1"/>
  <c r="Q46" i="2"/>
  <c r="R46" i="2" s="1"/>
  <c r="S78" i="2"/>
  <c r="T78" i="2" s="1"/>
  <c r="Q78" i="2"/>
  <c r="R78" i="2" s="1"/>
  <c r="S110" i="2"/>
  <c r="T110" i="2" s="1"/>
  <c r="Q110" i="2"/>
  <c r="R110" i="2" s="1"/>
  <c r="S142" i="2"/>
  <c r="T142" i="2" s="1"/>
  <c r="Q142" i="2"/>
  <c r="R142" i="2" s="1"/>
  <c r="S182" i="2"/>
  <c r="T182" i="2" s="1"/>
  <c r="Q182" i="2"/>
  <c r="R182" i="2" s="1"/>
  <c r="S214" i="2"/>
  <c r="T214" i="2" s="1"/>
  <c r="Q214" i="2"/>
  <c r="R214" i="2" s="1"/>
  <c r="S246" i="2"/>
  <c r="T246" i="2" s="1"/>
  <c r="Q246" i="2"/>
  <c r="R246" i="2" s="1"/>
  <c r="S270" i="2"/>
  <c r="T270" i="2" s="1"/>
  <c r="Q270" i="2"/>
  <c r="R270" i="2" s="1"/>
  <c r="S302" i="2"/>
  <c r="T302" i="2" s="1"/>
  <c r="Q302" i="2"/>
  <c r="R302" i="2" s="1"/>
  <c r="S13" i="2"/>
  <c r="T13" i="2" s="1"/>
  <c r="Q13" i="2"/>
  <c r="R13" i="2" s="1"/>
  <c r="S47" i="2"/>
  <c r="T47" i="2" s="1"/>
  <c r="Q47" i="2"/>
  <c r="R47" i="2" s="1"/>
  <c r="S79" i="2"/>
  <c r="T79" i="2" s="1"/>
  <c r="Q79" i="2"/>
  <c r="R79" i="2" s="1"/>
  <c r="S111" i="2"/>
  <c r="T111" i="2" s="1"/>
  <c r="Q111" i="2"/>
  <c r="R111" i="2" s="1"/>
  <c r="S143" i="2"/>
  <c r="T143" i="2" s="1"/>
  <c r="Q143" i="2"/>
  <c r="R143" i="2" s="1"/>
  <c r="S175" i="2"/>
  <c r="T175" i="2" s="1"/>
  <c r="Q175" i="2"/>
  <c r="R175" i="2" s="1"/>
  <c r="S207" i="2"/>
  <c r="T207" i="2" s="1"/>
  <c r="Q207" i="2"/>
  <c r="R207" i="2" s="1"/>
  <c r="S239" i="2"/>
  <c r="T239" i="2" s="1"/>
  <c r="Q239" i="2"/>
  <c r="R239" i="2" s="1"/>
  <c r="S271" i="2"/>
  <c r="T271" i="2" s="1"/>
  <c r="Q271" i="2"/>
  <c r="R271" i="2" s="1"/>
  <c r="Q17" i="2"/>
  <c r="R17" i="2" s="1"/>
  <c r="S17" i="2"/>
  <c r="T17" i="2" s="1"/>
  <c r="Q9" i="2"/>
  <c r="R9" i="2" s="1"/>
  <c r="S9" i="2"/>
  <c r="T9" i="2" s="1"/>
  <c r="S27" i="2"/>
  <c r="T27" i="2" s="1"/>
  <c r="Q27" i="2"/>
  <c r="R27" i="2" s="1"/>
  <c r="S35" i="2"/>
  <c r="T35" i="2" s="1"/>
  <c r="Q35" i="2"/>
  <c r="R35" i="2" s="1"/>
  <c r="S43" i="2"/>
  <c r="T43" i="2" s="1"/>
  <c r="Q43" i="2"/>
  <c r="R43" i="2" s="1"/>
  <c r="S51" i="2"/>
  <c r="T51" i="2" s="1"/>
  <c r="Q51" i="2"/>
  <c r="R51" i="2" s="1"/>
  <c r="S59" i="2"/>
  <c r="T59" i="2" s="1"/>
  <c r="Q59" i="2"/>
  <c r="R59" i="2" s="1"/>
  <c r="S67" i="2"/>
  <c r="T67" i="2" s="1"/>
  <c r="Q67" i="2"/>
  <c r="R67" i="2" s="1"/>
  <c r="S75" i="2"/>
  <c r="T75" i="2" s="1"/>
  <c r="Q75" i="2"/>
  <c r="R75" i="2" s="1"/>
  <c r="S83" i="2"/>
  <c r="T83" i="2" s="1"/>
  <c r="Q83" i="2"/>
  <c r="R83" i="2" s="1"/>
  <c r="S91" i="2"/>
  <c r="T91" i="2" s="1"/>
  <c r="Q91" i="2"/>
  <c r="R91" i="2" s="1"/>
  <c r="S99" i="2"/>
  <c r="T99" i="2" s="1"/>
  <c r="Q99" i="2"/>
  <c r="R99" i="2" s="1"/>
  <c r="S107" i="2"/>
  <c r="T107" i="2" s="1"/>
  <c r="Q107" i="2"/>
  <c r="R107" i="2" s="1"/>
  <c r="S115" i="2"/>
  <c r="T115" i="2" s="1"/>
  <c r="Q115" i="2"/>
  <c r="R115" i="2" s="1"/>
  <c r="S123" i="2"/>
  <c r="T123" i="2" s="1"/>
  <c r="Q123" i="2"/>
  <c r="R123" i="2" s="1"/>
  <c r="S131" i="2"/>
  <c r="T131" i="2" s="1"/>
  <c r="Q131" i="2"/>
  <c r="R131" i="2" s="1"/>
  <c r="S139" i="2"/>
  <c r="T139" i="2" s="1"/>
  <c r="Q139" i="2"/>
  <c r="R139" i="2" s="1"/>
  <c r="S147" i="2"/>
  <c r="T147" i="2" s="1"/>
  <c r="Q147" i="2"/>
  <c r="R147" i="2" s="1"/>
  <c r="S155" i="2"/>
  <c r="T155" i="2" s="1"/>
  <c r="Q155" i="2"/>
  <c r="R155" i="2" s="1"/>
  <c r="S163" i="2"/>
  <c r="T163" i="2" s="1"/>
  <c r="Q163" i="2"/>
  <c r="R163" i="2" s="1"/>
  <c r="S171" i="2"/>
  <c r="T171" i="2" s="1"/>
  <c r="Q171" i="2"/>
  <c r="R171" i="2" s="1"/>
  <c r="S179" i="2"/>
  <c r="T179" i="2" s="1"/>
  <c r="Q179" i="2"/>
  <c r="R179" i="2" s="1"/>
  <c r="S187" i="2"/>
  <c r="T187" i="2" s="1"/>
  <c r="Q187" i="2"/>
  <c r="R187" i="2" s="1"/>
  <c r="S195" i="2"/>
  <c r="T195" i="2" s="1"/>
  <c r="Q195" i="2"/>
  <c r="R195" i="2" s="1"/>
  <c r="S203" i="2"/>
  <c r="T203" i="2" s="1"/>
  <c r="Q203" i="2"/>
  <c r="R203" i="2" s="1"/>
  <c r="S211" i="2"/>
  <c r="T211" i="2" s="1"/>
  <c r="Q211" i="2"/>
  <c r="R211" i="2" s="1"/>
  <c r="S219" i="2"/>
  <c r="T219" i="2" s="1"/>
  <c r="Q219" i="2"/>
  <c r="R219" i="2" s="1"/>
  <c r="S227" i="2"/>
  <c r="T227" i="2" s="1"/>
  <c r="Q227" i="2"/>
  <c r="R227" i="2" s="1"/>
  <c r="S235" i="2"/>
  <c r="T235" i="2" s="1"/>
  <c r="Q235" i="2"/>
  <c r="R235" i="2" s="1"/>
  <c r="S243" i="2"/>
  <c r="T243" i="2" s="1"/>
  <c r="Q243" i="2"/>
  <c r="R243" i="2" s="1"/>
  <c r="S251" i="2"/>
  <c r="T251" i="2" s="1"/>
  <c r="Q251" i="2"/>
  <c r="R251" i="2" s="1"/>
  <c r="S259" i="2"/>
  <c r="T259" i="2" s="1"/>
  <c r="Q259" i="2"/>
  <c r="R259" i="2" s="1"/>
  <c r="S267" i="2"/>
  <c r="T267" i="2" s="1"/>
  <c r="Q267" i="2"/>
  <c r="R267" i="2" s="1"/>
  <c r="S275" i="2"/>
  <c r="T275" i="2" s="1"/>
  <c r="Q275" i="2"/>
  <c r="R275" i="2" s="1"/>
  <c r="S283" i="2"/>
  <c r="T283" i="2" s="1"/>
  <c r="Q283" i="2"/>
  <c r="R283" i="2" s="1"/>
  <c r="S291" i="2"/>
  <c r="T291" i="2" s="1"/>
  <c r="Q291" i="2"/>
  <c r="R291" i="2" s="1"/>
  <c r="S299" i="2"/>
  <c r="T299" i="2" s="1"/>
  <c r="Q299" i="2"/>
  <c r="R299" i="2" s="1"/>
  <c r="R3" i="2" l="1"/>
  <c r="T1" i="2"/>
  <c r="K29" i="1" l="1"/>
  <c r="C33" i="1"/>
  <c r="C34" i="1"/>
  <c r="C35" i="1"/>
  <c r="C36" i="1"/>
  <c r="C37" i="1"/>
  <c r="C38" i="1"/>
  <c r="C39" i="1"/>
  <c r="C40" i="1"/>
  <c r="C41" i="1"/>
  <c r="C32" i="1"/>
</calcChain>
</file>

<file path=xl/sharedStrings.xml><?xml version="1.0" encoding="utf-8"?>
<sst xmlns="http://schemas.openxmlformats.org/spreadsheetml/2006/main" count="103" uniqueCount="56">
  <si>
    <t>Year</t>
  </si>
  <si>
    <t>Num high school graduates</t>
  </si>
  <si>
    <t>USA Economics</t>
  </si>
  <si>
    <t>comparable tuition fee</t>
  </si>
  <si>
    <t xml:space="preserve">financial scholarship </t>
  </si>
  <si>
    <t>financial aid available</t>
  </si>
  <si>
    <t>number of open house visitors</t>
  </si>
  <si>
    <t>media advertisement investment</t>
  </si>
  <si>
    <t>admission activities</t>
  </si>
  <si>
    <t>SAT cutoff</t>
  </si>
  <si>
    <t>Number of First Year Enrollment</t>
  </si>
  <si>
    <t>NEW YEAR</t>
  </si>
  <si>
    <t>Y_intercept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</si>
  <si>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</si>
  <si>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</si>
  <si>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</si>
  <si>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</si>
  <si>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</si>
  <si>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</si>
  <si>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</si>
  <si>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</si>
  <si>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</si>
  <si>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</si>
  <si>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</si>
  <si>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</si>
  <si>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</si>
  <si>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</si>
  <si>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m1x1+m2x2+…+b</t>
  </si>
  <si>
    <t>P(1)</t>
  </si>
  <si>
    <t>Outcome</t>
  </si>
  <si>
    <t>Difference</t>
  </si>
  <si>
    <t>Likehood</t>
  </si>
  <si>
    <t>Ln</t>
  </si>
  <si>
    <t>b</t>
  </si>
  <si>
    <t>total Diff</t>
  </si>
  <si>
    <t>To-maximize</t>
  </si>
  <si>
    <t>Scoring Dataset</t>
  </si>
  <si>
    <t>outcome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</si>
  <si>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</si>
  <si>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</si>
  <si>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</si>
  <si>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</si>
  <si>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</si>
  <si>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</si>
  <si>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</si>
  <si>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</si>
  <si>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</si>
  <si>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</si>
  <si>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</si>
  <si>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</si>
  <si>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</si>
  <si>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Validation/Test Dataset</t>
  </si>
  <si>
    <t>Actual Outcome</t>
  </si>
  <si>
    <t>Predicted Outcome</t>
  </si>
  <si>
    <t>Cross-validation Diff=</t>
  </si>
  <si>
    <t>Cross-validation Accuracy=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</si>
</sst>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/>
    <xf numFmtId="0" fontId="0" fillId="2" borderId="0" xfId="0" applyFill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927A-ECF4-4814-B2F2-8B830370EB3B}">
  <dimension ref="A12:K41"/>
  <sheetViews>
    <sheetView topLeftCell="A15" workbookViewId="0">
      <selection activeCell="E38" sqref="E38"/>
    </sheetView>
  </sheetViews>
  <sheetFormatPr defaultRowHeight="13.8" x14ac:dyDescent="0.25"/>
  <cols>
    <col min="1" max="1" width="25.21875" style="1" customWidth="1"/>
    <col min="2" max="2" width="8.88671875" style="1"/>
    <col min="3" max="3" width="15.44140625" style="1" customWidth="1"/>
    <col min="4" max="4" width="15.33203125" style="1" customWidth="1"/>
    <col min="5" max="5" width="20.33203125" style="1" customWidth="1"/>
    <col min="6" max="6" width="17" style="1" customWidth="1"/>
    <col min="7" max="7" width="16.44140625" style="1" customWidth="1"/>
    <col min="8" max="8" width="26.109375" style="1" customWidth="1"/>
    <col min="9" max="9" width="17.5546875" style="1" customWidth="1"/>
    <col min="10" max="10" width="12.88671875" style="1" customWidth="1"/>
    <col min="11" max="11" width="35.21875" style="1" customWidth="1"/>
    <col min="12" max="16384" width="8.88671875" style="1"/>
  </cols>
  <sheetData>
    <row r="12" spans="1:11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8" spans="1:11" ht="14.4" x14ac:dyDescent="0.3">
      <c r="A18" s="5" t="s">
        <v>0</v>
      </c>
      <c r="B18" s="5" t="s">
        <v>1</v>
      </c>
      <c r="C18" s="5" t="s">
        <v>2</v>
      </c>
      <c r="D18" s="5" t="s">
        <v>3</v>
      </c>
      <c r="E18" s="5" t="s">
        <v>4</v>
      </c>
      <c r="F18" s="5" t="s">
        <v>5</v>
      </c>
      <c r="G18" s="5" t="s">
        <v>6</v>
      </c>
      <c r="H18" s="5" t="s">
        <v>7</v>
      </c>
      <c r="I18" s="5" t="s">
        <v>8</v>
      </c>
      <c r="J18" s="5" t="s">
        <v>9</v>
      </c>
      <c r="K18" s="5" t="s">
        <v>10</v>
      </c>
    </row>
    <row r="19" spans="1:11" ht="14.4" x14ac:dyDescent="0.3">
      <c r="A19" s="5">
        <v>2004</v>
      </c>
      <c r="B19" s="5">
        <v>25000</v>
      </c>
      <c r="C19" s="5">
        <v>3</v>
      </c>
      <c r="D19" s="5">
        <v>2</v>
      </c>
      <c r="E19" s="5">
        <v>3</v>
      </c>
      <c r="F19" s="5">
        <v>1</v>
      </c>
      <c r="G19" s="5">
        <v>1100</v>
      </c>
      <c r="H19" s="5">
        <v>13400</v>
      </c>
      <c r="I19" s="5">
        <v>20</v>
      </c>
      <c r="J19" s="5">
        <v>1000</v>
      </c>
      <c r="K19" s="5">
        <v>200</v>
      </c>
    </row>
    <row r="20" spans="1:11" ht="14.4" x14ac:dyDescent="0.3">
      <c r="A20" s="5">
        <v>2005</v>
      </c>
      <c r="B20" s="5">
        <v>25600</v>
      </c>
      <c r="C20" s="5">
        <v>3</v>
      </c>
      <c r="D20" s="5">
        <v>2</v>
      </c>
      <c r="E20" s="5">
        <v>1</v>
      </c>
      <c r="F20" s="5">
        <v>2</v>
      </c>
      <c r="G20" s="5">
        <v>1005</v>
      </c>
      <c r="H20" s="5">
        <v>12900</v>
      </c>
      <c r="I20" s="5">
        <v>15</v>
      </c>
      <c r="J20" s="5">
        <v>980</v>
      </c>
      <c r="K20" s="5">
        <v>202</v>
      </c>
    </row>
    <row r="21" spans="1:11" ht="14.4" x14ac:dyDescent="0.3">
      <c r="A21" s="5">
        <v>2006</v>
      </c>
      <c r="B21" s="5">
        <v>24367</v>
      </c>
      <c r="C21" s="5">
        <v>3</v>
      </c>
      <c r="D21" s="5">
        <v>3</v>
      </c>
      <c r="E21" s="5">
        <v>2</v>
      </c>
      <c r="F21" s="5">
        <v>3</v>
      </c>
      <c r="G21" s="5">
        <v>900</v>
      </c>
      <c r="H21" s="5">
        <v>8000</v>
      </c>
      <c r="I21" s="5">
        <v>8</v>
      </c>
      <c r="J21" s="5">
        <v>950</v>
      </c>
      <c r="K21" s="5">
        <v>188</v>
      </c>
    </row>
    <row r="22" spans="1:11" ht="14.4" x14ac:dyDescent="0.3">
      <c r="A22" s="5">
        <v>2007</v>
      </c>
      <c r="B22" s="5">
        <v>25500</v>
      </c>
      <c r="C22" s="5">
        <v>3</v>
      </c>
      <c r="D22" s="5">
        <v>2</v>
      </c>
      <c r="E22" s="5">
        <v>2</v>
      </c>
      <c r="F22" s="5">
        <v>3</v>
      </c>
      <c r="G22" s="5">
        <v>980</v>
      </c>
      <c r="H22" s="5">
        <v>8000</v>
      </c>
      <c r="I22" s="5">
        <v>11</v>
      </c>
      <c r="J22" s="5">
        <v>1020</v>
      </c>
      <c r="K22" s="5">
        <v>209</v>
      </c>
    </row>
    <row r="23" spans="1:11" ht="14.4" x14ac:dyDescent="0.3">
      <c r="A23" s="5">
        <v>2008</v>
      </c>
      <c r="B23" s="5">
        <v>28321</v>
      </c>
      <c r="C23" s="5">
        <v>2</v>
      </c>
      <c r="D23" s="5">
        <v>3</v>
      </c>
      <c r="E23" s="5">
        <v>3</v>
      </c>
      <c r="F23" s="5">
        <v>1</v>
      </c>
      <c r="G23" s="5">
        <v>1212</v>
      </c>
      <c r="H23" s="5">
        <v>7500</v>
      </c>
      <c r="I23" s="5">
        <v>18</v>
      </c>
      <c r="J23" s="5">
        <v>1000</v>
      </c>
      <c r="K23" s="5">
        <v>232</v>
      </c>
    </row>
    <row r="24" spans="1:11" ht="14.4" x14ac:dyDescent="0.3">
      <c r="A24" s="5">
        <v>2009</v>
      </c>
      <c r="B24" s="5">
        <v>28759</v>
      </c>
      <c r="C24" s="5">
        <v>1</v>
      </c>
      <c r="D24" s="5">
        <v>1</v>
      </c>
      <c r="E24" s="5">
        <v>3</v>
      </c>
      <c r="F24" s="5">
        <v>3</v>
      </c>
      <c r="G24" s="5">
        <v>1220</v>
      </c>
      <c r="H24" s="5">
        <v>10000</v>
      </c>
      <c r="I24" s="5">
        <v>19</v>
      </c>
      <c r="J24" s="5">
        <v>1010</v>
      </c>
      <c r="K24" s="5">
        <v>220</v>
      </c>
    </row>
    <row r="25" spans="1:11" ht="14.4" x14ac:dyDescent="0.3">
      <c r="A25" s="5">
        <v>2010</v>
      </c>
      <c r="B25" s="5">
        <v>25431</v>
      </c>
      <c r="C25" s="5">
        <v>1</v>
      </c>
      <c r="D25" s="5">
        <v>1</v>
      </c>
      <c r="E25" s="5">
        <v>1</v>
      </c>
      <c r="F25" s="5">
        <v>1</v>
      </c>
      <c r="G25" s="5">
        <v>987</v>
      </c>
      <c r="H25" s="5">
        <v>8000</v>
      </c>
      <c r="I25" s="5">
        <v>10</v>
      </c>
      <c r="J25" s="5">
        <v>950</v>
      </c>
      <c r="K25" s="5">
        <v>188</v>
      </c>
    </row>
    <row r="26" spans="1:11" ht="14.4" x14ac:dyDescent="0.3">
      <c r="A26" s="5">
        <v>2011</v>
      </c>
      <c r="B26" s="5">
        <v>24678</v>
      </c>
      <c r="C26" s="5">
        <v>1</v>
      </c>
      <c r="D26" s="5">
        <v>1</v>
      </c>
      <c r="E26" s="5">
        <v>1</v>
      </c>
      <c r="F26" s="5">
        <v>2</v>
      </c>
      <c r="G26" s="5">
        <v>899</v>
      </c>
      <c r="H26" s="5">
        <v>7500</v>
      </c>
      <c r="I26" s="5">
        <v>8</v>
      </c>
      <c r="J26" s="5">
        <v>1000</v>
      </c>
      <c r="K26" s="5">
        <v>179</v>
      </c>
    </row>
    <row r="27" spans="1:11" ht="14.4" x14ac:dyDescent="0.3">
      <c r="A27" s="5">
        <v>2012</v>
      </c>
      <c r="B27" s="5">
        <v>24987</v>
      </c>
      <c r="C27" s="5">
        <v>2</v>
      </c>
      <c r="D27" s="5">
        <v>2</v>
      </c>
      <c r="E27" s="5">
        <v>2</v>
      </c>
      <c r="F27" s="5">
        <v>3</v>
      </c>
      <c r="G27" s="5">
        <v>1488</v>
      </c>
      <c r="H27" s="5">
        <v>11000</v>
      </c>
      <c r="I27" s="5">
        <v>7</v>
      </c>
      <c r="J27" s="5">
        <v>1000</v>
      </c>
      <c r="K27" s="5">
        <v>190</v>
      </c>
    </row>
    <row r="28" spans="1:11" ht="14.4" x14ac:dyDescent="0.3">
      <c r="A28" s="5">
        <v>2013</v>
      </c>
      <c r="B28" s="5">
        <v>25100</v>
      </c>
      <c r="C28" s="5">
        <v>2</v>
      </c>
      <c r="D28" s="5">
        <v>3</v>
      </c>
      <c r="E28" s="5">
        <v>2</v>
      </c>
      <c r="F28" s="5">
        <v>3</v>
      </c>
      <c r="G28" s="5">
        <v>900</v>
      </c>
      <c r="H28" s="5">
        <v>11000</v>
      </c>
      <c r="I28" s="5">
        <v>10</v>
      </c>
      <c r="J28" s="5">
        <v>1000</v>
      </c>
      <c r="K28" s="5">
        <v>175</v>
      </c>
    </row>
    <row r="29" spans="1:11" ht="14.4" x14ac:dyDescent="0.3">
      <c r="A29" s="6" t="s">
        <v>11</v>
      </c>
      <c r="B29" s="6">
        <v>25500</v>
      </c>
      <c r="C29" s="6">
        <v>3</v>
      </c>
      <c r="D29" s="6">
        <v>3</v>
      </c>
      <c r="E29" s="6">
        <v>2</v>
      </c>
      <c r="F29" s="6">
        <v>2</v>
      </c>
      <c r="G29" s="6">
        <v>1130</v>
      </c>
      <c r="H29" s="6">
        <v>9000</v>
      </c>
      <c r="I29" s="6">
        <v>20</v>
      </c>
      <c r="J29" s="6">
        <v>1000</v>
      </c>
      <c r="K29" s="6">
        <f>C32*J29+C33*I29+C34*H29+C35*G29+C36*F29+C37*E29+C38*D29+C39*C29+C40*B29+C41</f>
        <v>219.65962438253979</v>
      </c>
    </row>
    <row r="32" spans="1:11" ht="14.4" x14ac:dyDescent="0.3">
      <c r="A32" s="3" t="s">
        <v>9</v>
      </c>
      <c r="B32" s="1">
        <v>1</v>
      </c>
      <c r="C32" s="1">
        <f>INDEX(LINEST(K$19:K$28,B$19:J$28,TRUE,TRUE),1,B32)</f>
        <v>3.3161250293402882E-2</v>
      </c>
    </row>
    <row r="33" spans="1:3" ht="14.4" x14ac:dyDescent="0.3">
      <c r="A33" s="3" t="s">
        <v>8</v>
      </c>
      <c r="B33" s="1">
        <v>2</v>
      </c>
      <c r="C33" s="1">
        <f t="shared" ref="C33:C41" si="0">INDEX(LINEST(K$19:K$28,B$19:J$28,TRUE,TRUE),1,B33)</f>
        <v>1.3949470436736482</v>
      </c>
    </row>
    <row r="34" spans="1:3" ht="14.4" x14ac:dyDescent="0.3">
      <c r="A34" s="3" t="s">
        <v>7</v>
      </c>
      <c r="B34" s="1">
        <v>3</v>
      </c>
      <c r="C34" s="1">
        <f t="shared" si="0"/>
        <v>-3.5200578571288493E-3</v>
      </c>
    </row>
    <row r="35" spans="1:3" ht="14.4" x14ac:dyDescent="0.3">
      <c r="A35" s="7" t="s">
        <v>6</v>
      </c>
      <c r="B35" s="1">
        <v>4</v>
      </c>
      <c r="C35" s="1">
        <f t="shared" si="0"/>
        <v>2.8911713838573206E-2</v>
      </c>
    </row>
    <row r="36" spans="1:3" x14ac:dyDescent="0.25">
      <c r="A36" s="1" t="s">
        <v>5</v>
      </c>
      <c r="B36" s="1">
        <v>5</v>
      </c>
      <c r="C36" s="1">
        <f t="shared" si="0"/>
        <v>-1.0429358975602736</v>
      </c>
    </row>
    <row r="37" spans="1:3" ht="14.4" x14ac:dyDescent="0.3">
      <c r="A37" s="7" t="s">
        <v>4</v>
      </c>
      <c r="B37" s="1">
        <v>6</v>
      </c>
      <c r="C37" s="1">
        <f t="shared" si="0"/>
        <v>-3.4269548881982765</v>
      </c>
    </row>
    <row r="38" spans="1:3" ht="14.4" x14ac:dyDescent="0.3">
      <c r="A38" s="7" t="s">
        <v>3</v>
      </c>
      <c r="B38" s="1">
        <v>7</v>
      </c>
      <c r="C38" s="1">
        <f t="shared" si="0"/>
        <v>-3.0913091208724119</v>
      </c>
    </row>
    <row r="39" spans="1:3" ht="14.4" x14ac:dyDescent="0.3">
      <c r="A39" s="5" t="s">
        <v>2</v>
      </c>
      <c r="B39" s="1">
        <v>8</v>
      </c>
      <c r="C39" s="1">
        <f t="shared" si="0"/>
        <v>12.768361330113445</v>
      </c>
    </row>
    <row r="40" spans="1:3" ht="14.4" x14ac:dyDescent="0.3">
      <c r="A40" s="7" t="s">
        <v>1</v>
      </c>
      <c r="B40" s="1">
        <v>9</v>
      </c>
      <c r="C40" s="1">
        <f t="shared" si="0"/>
        <v>8.022617052500073E-3</v>
      </c>
    </row>
    <row r="41" spans="1:3" ht="14.4" x14ac:dyDescent="0.3">
      <c r="A41" s="7" t="s">
        <v>12</v>
      </c>
      <c r="B41" s="1">
        <v>10</v>
      </c>
      <c r="C41" s="1">
        <f t="shared" si="0"/>
        <v>-67.058392602722009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9628-1D36-4043-82C8-15194D12D5DE}">
  <dimension ref="A1:T307"/>
  <sheetViews>
    <sheetView workbookViewId="0">
      <selection activeCell="I314" sqref="I314"/>
    </sheetView>
  </sheetViews>
  <sheetFormatPr defaultRowHeight="14.4" x14ac:dyDescent="0.3"/>
  <cols>
    <col min="15" max="15" width="18" customWidth="1"/>
    <col min="19" max="19" width="12.44140625" customWidth="1"/>
  </cols>
  <sheetData>
    <row r="1" spans="1:20" s="11" customFormat="1" x14ac:dyDescent="0.3">
      <c r="A1" s="13">
        <v>13</v>
      </c>
      <c r="B1" s="13">
        <v>12</v>
      </c>
      <c r="C1" s="13">
        <v>11</v>
      </c>
      <c r="D1" s="13">
        <v>10</v>
      </c>
      <c r="E1" s="13">
        <v>9</v>
      </c>
      <c r="F1" s="13">
        <v>8</v>
      </c>
      <c r="G1" s="13">
        <v>7</v>
      </c>
      <c r="H1" s="13">
        <v>6</v>
      </c>
      <c r="I1" s="13">
        <v>5</v>
      </c>
      <c r="J1" s="13">
        <v>4</v>
      </c>
      <c r="K1" s="13">
        <v>3</v>
      </c>
      <c r="L1" s="13">
        <v>2</v>
      </c>
      <c r="M1" s="13">
        <v>1</v>
      </c>
      <c r="N1" s="13">
        <v>14</v>
      </c>
      <c r="S1" s="13" t="s">
        <v>35</v>
      </c>
      <c r="T1" s="11">
        <f>SUM(T6:T302)</f>
        <v>-102.34436678337875</v>
      </c>
    </row>
    <row r="2" spans="1:20" s="11" customFormat="1" x14ac:dyDescent="0.3">
      <c r="A2" s="12" t="s">
        <v>13</v>
      </c>
      <c r="B2" s="12" t="s">
        <v>14</v>
      </c>
      <c r="C2" s="12" t="s">
        <v>15</v>
      </c>
      <c r="D2" s="12" t="s">
        <v>16</v>
      </c>
      <c r="E2" s="12" t="s">
        <v>17</v>
      </c>
      <c r="F2" s="12" t="s">
        <v>18</v>
      </c>
      <c r="G2" s="12" t="s">
        <v>19</v>
      </c>
      <c r="H2" s="12" t="s">
        <v>20</v>
      </c>
      <c r="I2" s="12" t="s">
        <v>21</v>
      </c>
      <c r="J2" s="12" t="s">
        <v>22</v>
      </c>
      <c r="K2" s="12" t="s">
        <v>23</v>
      </c>
      <c r="L2" s="12" t="s">
        <v>24</v>
      </c>
      <c r="M2" s="12" t="s">
        <v>25</v>
      </c>
      <c r="N2" s="12" t="s">
        <v>33</v>
      </c>
    </row>
    <row r="3" spans="1:20" s="11" customFormat="1" x14ac:dyDescent="0.3">
      <c r="A3" s="11">
        <f>INDEX(LINEST($N6:$N302, $A6:$M302), 1, A1)</f>
        <v>-1.2282046886227082E-3</v>
      </c>
      <c r="B3" s="13">
        <f t="shared" ref="B3:N3" si="0">INDEX(LINEST($N6:$N302, $A6:$M302), 1, B1)</f>
        <v>0.14569183178559117</v>
      </c>
      <c r="C3" s="13">
        <f t="shared" si="0"/>
        <v>8.2763232670012954E-2</v>
      </c>
      <c r="D3" s="13">
        <f t="shared" si="0"/>
        <v>2.1361741326654002E-3</v>
      </c>
      <c r="E3" s="13">
        <f t="shared" si="0"/>
        <v>3.5489886662413598E-4</v>
      </c>
      <c r="F3" s="13">
        <f t="shared" si="0"/>
        <v>-9.8238291337493358E-2</v>
      </c>
      <c r="G3" s="13">
        <f t="shared" si="0"/>
        <v>3.2657706415573695E-2</v>
      </c>
      <c r="H3" s="13">
        <f t="shared" si="0"/>
        <v>-2.6261953083474886E-3</v>
      </c>
      <c r="I3" s="13">
        <f t="shared" si="0"/>
        <v>0.13475306416630087</v>
      </c>
      <c r="J3" s="13">
        <f t="shared" si="0"/>
        <v>3.2428048493887404E-2</v>
      </c>
      <c r="K3" s="13">
        <f t="shared" si="0"/>
        <v>6.1034589201354329E-2</v>
      </c>
      <c r="L3" s="13">
        <f t="shared" si="0"/>
        <v>0.14319872425029184</v>
      </c>
      <c r="M3" s="13">
        <f t="shared" si="0"/>
        <v>6.062366153011442E-2</v>
      </c>
      <c r="N3" s="13">
        <f t="shared" si="0"/>
        <v>-0.38603111349955122</v>
      </c>
      <c r="Q3" s="13" t="s">
        <v>34</v>
      </c>
      <c r="R3" s="11">
        <f>SUM(R6:R302)</f>
        <v>45</v>
      </c>
    </row>
    <row r="4" spans="1:20" s="11" customFormat="1" x14ac:dyDescent="0.3">
      <c r="A4" s="11">
        <v>-1.4188139040590762E-2</v>
      </c>
      <c r="B4" s="13">
        <v>1.311329183564752</v>
      </c>
      <c r="C4" s="13">
        <v>0.57571427652246188</v>
      </c>
      <c r="D4" s="13">
        <v>2.4021237118354806E-2</v>
      </c>
      <c r="E4" s="13">
        <v>4.9833074653001293E-3</v>
      </c>
      <c r="F4" s="13">
        <v>-1.0214829728741583</v>
      </c>
      <c r="G4" s="13">
        <v>0.24530217523124456</v>
      </c>
      <c r="H4" s="13">
        <v>-2.0695660542126747E-2</v>
      </c>
      <c r="I4" s="13">
        <v>0.92576680903875719</v>
      </c>
      <c r="J4" s="13">
        <v>0.24741075490161263</v>
      </c>
      <c r="K4" s="13">
        <v>0.56961698552398676</v>
      </c>
      <c r="L4" s="13">
        <v>1.2675868981370546</v>
      </c>
      <c r="M4" s="13">
        <v>0.34397139080639727</v>
      </c>
      <c r="N4" s="13">
        <v>-7.3586287619102819</v>
      </c>
    </row>
    <row r="5" spans="1:20" x14ac:dyDescent="0.3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  <c r="H5" s="9" t="s">
        <v>20</v>
      </c>
      <c r="I5" s="9" t="s">
        <v>21</v>
      </c>
      <c r="J5" s="9" t="s">
        <v>22</v>
      </c>
      <c r="K5" s="9" t="s">
        <v>23</v>
      </c>
      <c r="L5" s="9" t="s">
        <v>24</v>
      </c>
      <c r="M5" s="9" t="s">
        <v>25</v>
      </c>
      <c r="N5" s="10" t="s">
        <v>26</v>
      </c>
      <c r="O5" s="9" t="s">
        <v>27</v>
      </c>
      <c r="P5" s="9" t="s">
        <v>28</v>
      </c>
      <c r="Q5" s="9" t="s">
        <v>29</v>
      </c>
      <c r="R5" s="9" t="s">
        <v>30</v>
      </c>
      <c r="S5" s="11" t="s">
        <v>31</v>
      </c>
      <c r="T5" t="s">
        <v>32</v>
      </c>
    </row>
    <row r="6" spans="1:20" x14ac:dyDescent="0.3">
      <c r="A6" s="9">
        <v>63</v>
      </c>
      <c r="B6" s="9">
        <v>1</v>
      </c>
      <c r="C6" s="9">
        <v>1</v>
      </c>
      <c r="D6" s="9">
        <v>145</v>
      </c>
      <c r="E6" s="9">
        <v>233</v>
      </c>
      <c r="F6" s="9">
        <v>1</v>
      </c>
      <c r="G6" s="9">
        <v>2</v>
      </c>
      <c r="H6" s="9">
        <v>150</v>
      </c>
      <c r="I6" s="9">
        <v>0</v>
      </c>
      <c r="J6" s="9">
        <v>2.2999999999999998</v>
      </c>
      <c r="K6" s="9">
        <v>3</v>
      </c>
      <c r="L6" s="9">
        <v>0</v>
      </c>
      <c r="M6" s="9">
        <v>6</v>
      </c>
      <c r="N6" s="9">
        <v>0</v>
      </c>
      <c r="O6">
        <f>SUMPRODUCT(A$4:M$4, A6:M6)+N$4</f>
        <v>-1.0147517058505366</v>
      </c>
      <c r="P6">
        <f>1/(1+EXP(0-O6))</f>
        <v>0.26605096452644111</v>
      </c>
      <c r="Q6">
        <f>IF(P6&lt;=0.5, 0, 1)</f>
        <v>0</v>
      </c>
      <c r="R6">
        <f>IF(N6=Q6, 0, 1)</f>
        <v>0</v>
      </c>
      <c r="S6">
        <f>IF(N6=1, P6, 1-P6)</f>
        <v>0.73394903547355894</v>
      </c>
      <c r="T6">
        <f>IF(S6=0, -100000, LN(S6))</f>
        <v>-0.30931568673799942</v>
      </c>
    </row>
    <row r="7" spans="1:20" x14ac:dyDescent="0.3">
      <c r="A7" s="9">
        <v>67</v>
      </c>
      <c r="B7" s="9">
        <v>1</v>
      </c>
      <c r="C7" s="9">
        <v>4</v>
      </c>
      <c r="D7" s="9">
        <v>160</v>
      </c>
      <c r="E7" s="9">
        <v>286</v>
      </c>
      <c r="F7" s="9">
        <v>0</v>
      </c>
      <c r="G7" s="9">
        <v>2</v>
      </c>
      <c r="H7" s="9">
        <v>108</v>
      </c>
      <c r="I7" s="9">
        <v>1</v>
      </c>
      <c r="J7" s="9">
        <v>1.5</v>
      </c>
      <c r="K7" s="9">
        <v>2</v>
      </c>
      <c r="L7" s="9">
        <v>3</v>
      </c>
      <c r="M7" s="9">
        <v>3</v>
      </c>
      <c r="N7" s="9">
        <v>1</v>
      </c>
      <c r="O7" s="13">
        <f t="shared" ref="O7:O70" si="1">SUMPRODUCT(A$4:M$4, A7:M7)+N$4</f>
        <v>6.0998408772196466</v>
      </c>
      <c r="P7" s="13">
        <f t="shared" ref="P7:P70" si="2">1/(1+EXP(0-O7))</f>
        <v>0.99776179615478355</v>
      </c>
      <c r="Q7" s="13">
        <f t="shared" ref="Q7:Q70" si="3">IF(P7&lt;=0.5, 0, 1)</f>
        <v>1</v>
      </c>
      <c r="R7" s="13">
        <f t="shared" ref="R7:R70" si="4">IF(N7=Q7, 0, 1)</f>
        <v>0</v>
      </c>
      <c r="S7" s="13">
        <f t="shared" ref="S7:S70" si="5">IF(N7=1, P7, 1-P7)</f>
        <v>0.99776179615478355</v>
      </c>
      <c r="T7" s="13">
        <f t="shared" ref="T7:T70" si="6">IF(S7=0, -100000, LN(S7))</f>
        <v>-2.2407123671974913E-3</v>
      </c>
    </row>
    <row r="8" spans="1:20" x14ac:dyDescent="0.3">
      <c r="A8" s="9">
        <v>67</v>
      </c>
      <c r="B8" s="9">
        <v>1</v>
      </c>
      <c r="C8" s="9">
        <v>4</v>
      </c>
      <c r="D8" s="9">
        <v>120</v>
      </c>
      <c r="E8" s="9">
        <v>229</v>
      </c>
      <c r="F8" s="9">
        <v>0</v>
      </c>
      <c r="G8" s="9">
        <v>2</v>
      </c>
      <c r="H8" s="9">
        <v>129</v>
      </c>
      <c r="I8" s="9">
        <v>1</v>
      </c>
      <c r="J8" s="9">
        <v>2.6</v>
      </c>
      <c r="K8" s="9">
        <v>2</v>
      </c>
      <c r="L8" s="9">
        <v>2</v>
      </c>
      <c r="M8" s="9">
        <v>7</v>
      </c>
      <c r="N8" s="9">
        <v>1</v>
      </c>
      <c r="O8" s="13">
        <f t="shared" si="1"/>
        <v>4.8007844910589963</v>
      </c>
      <c r="P8" s="13">
        <f t="shared" si="2"/>
        <v>0.99184377759225828</v>
      </c>
      <c r="Q8" s="13">
        <f t="shared" si="3"/>
        <v>1</v>
      </c>
      <c r="R8" s="13">
        <f t="shared" si="4"/>
        <v>0</v>
      </c>
      <c r="S8" s="13">
        <f t="shared" si="5"/>
        <v>0.99184377759225828</v>
      </c>
      <c r="T8" s="13">
        <f t="shared" si="6"/>
        <v>-8.1896663647670013E-3</v>
      </c>
    </row>
    <row r="9" spans="1:20" x14ac:dyDescent="0.3">
      <c r="A9" s="9">
        <v>37</v>
      </c>
      <c r="B9" s="9">
        <v>1</v>
      </c>
      <c r="C9" s="9">
        <v>3</v>
      </c>
      <c r="D9" s="9">
        <v>130</v>
      </c>
      <c r="E9" s="9">
        <v>250</v>
      </c>
      <c r="F9" s="9">
        <v>0</v>
      </c>
      <c r="G9" s="9">
        <v>0</v>
      </c>
      <c r="H9" s="9">
        <v>187</v>
      </c>
      <c r="I9" s="9">
        <v>0</v>
      </c>
      <c r="J9" s="9">
        <v>3.5</v>
      </c>
      <c r="K9" s="9">
        <v>3</v>
      </c>
      <c r="L9" s="9">
        <v>0</v>
      </c>
      <c r="M9" s="9">
        <v>3</v>
      </c>
      <c r="N9" s="9">
        <v>0</v>
      </c>
      <c r="O9" s="13">
        <f t="shared" si="1"/>
        <v>-0.73991595179975178</v>
      </c>
      <c r="P9" s="13">
        <f t="shared" si="2"/>
        <v>0.32302252306216467</v>
      </c>
      <c r="Q9" s="13">
        <f t="shared" si="3"/>
        <v>0</v>
      </c>
      <c r="R9" s="13">
        <f t="shared" si="4"/>
        <v>0</v>
      </c>
      <c r="S9" s="13">
        <f t="shared" si="5"/>
        <v>0.67697747693783539</v>
      </c>
      <c r="T9" s="13">
        <f t="shared" si="6"/>
        <v>-0.39011727554819581</v>
      </c>
    </row>
    <row r="10" spans="1:20" x14ac:dyDescent="0.3">
      <c r="A10" s="9">
        <v>41</v>
      </c>
      <c r="B10" s="9">
        <v>0</v>
      </c>
      <c r="C10" s="9">
        <v>2</v>
      </c>
      <c r="D10" s="9">
        <v>130</v>
      </c>
      <c r="E10" s="9">
        <v>204</v>
      </c>
      <c r="F10" s="9">
        <v>0</v>
      </c>
      <c r="G10" s="9">
        <v>2</v>
      </c>
      <c r="H10" s="9">
        <v>172</v>
      </c>
      <c r="I10" s="9">
        <v>0</v>
      </c>
      <c r="J10" s="9">
        <v>1.4</v>
      </c>
      <c r="K10" s="9">
        <v>1</v>
      </c>
      <c r="L10" s="9">
        <v>0</v>
      </c>
      <c r="M10" s="9">
        <v>3</v>
      </c>
      <c r="N10" s="9">
        <v>0</v>
      </c>
      <c r="O10" s="13">
        <f t="shared" si="1"/>
        <v>-3.770701409200103</v>
      </c>
      <c r="P10" s="13">
        <f t="shared" si="2"/>
        <v>2.2517196147794624E-2</v>
      </c>
      <c r="Q10" s="13">
        <f t="shared" si="3"/>
        <v>0</v>
      </c>
      <c r="R10" s="13">
        <f t="shared" si="4"/>
        <v>0</v>
      </c>
      <c r="S10" s="13">
        <f t="shared" si="5"/>
        <v>0.97748280385220543</v>
      </c>
      <c r="T10" s="13">
        <f t="shared" si="6"/>
        <v>-2.2774579244409954E-2</v>
      </c>
    </row>
    <row r="11" spans="1:20" x14ac:dyDescent="0.3">
      <c r="A11" s="9">
        <v>56</v>
      </c>
      <c r="B11" s="9">
        <v>1</v>
      </c>
      <c r="C11" s="9">
        <v>2</v>
      </c>
      <c r="D11" s="9">
        <v>120</v>
      </c>
      <c r="E11" s="9">
        <v>236</v>
      </c>
      <c r="F11" s="9">
        <v>0</v>
      </c>
      <c r="G11" s="9">
        <v>0</v>
      </c>
      <c r="H11" s="9">
        <v>178</v>
      </c>
      <c r="I11" s="9">
        <v>0</v>
      </c>
      <c r="J11" s="9">
        <v>0.8</v>
      </c>
      <c r="K11" s="9">
        <v>1</v>
      </c>
      <c r="L11" s="9">
        <v>0</v>
      </c>
      <c r="M11" s="9">
        <v>3</v>
      </c>
      <c r="N11" s="9">
        <v>0</v>
      </c>
      <c r="O11" s="13">
        <f t="shared" si="1"/>
        <v>-3.5161656101943737</v>
      </c>
      <c r="P11" s="13">
        <f t="shared" si="2"/>
        <v>2.8855753513997152E-2</v>
      </c>
      <c r="Q11" s="13">
        <f t="shared" si="3"/>
        <v>0</v>
      </c>
      <c r="R11" s="13">
        <f t="shared" si="4"/>
        <v>0</v>
      </c>
      <c r="S11" s="13">
        <f t="shared" si="5"/>
        <v>0.97114424648600284</v>
      </c>
      <c r="T11" s="13">
        <f t="shared" si="6"/>
        <v>-2.9280267155460362E-2</v>
      </c>
    </row>
    <row r="12" spans="1:20" x14ac:dyDescent="0.3">
      <c r="A12" s="9">
        <v>62</v>
      </c>
      <c r="B12" s="9">
        <v>0</v>
      </c>
      <c r="C12" s="9">
        <v>4</v>
      </c>
      <c r="D12" s="9">
        <v>140</v>
      </c>
      <c r="E12" s="9">
        <v>268</v>
      </c>
      <c r="F12" s="9">
        <v>0</v>
      </c>
      <c r="G12" s="9">
        <v>2</v>
      </c>
      <c r="H12" s="9">
        <v>160</v>
      </c>
      <c r="I12" s="9">
        <v>0</v>
      </c>
      <c r="J12" s="9">
        <v>3.6</v>
      </c>
      <c r="K12" s="9">
        <v>3</v>
      </c>
      <c r="L12" s="9">
        <v>2</v>
      </c>
      <c r="M12" s="9">
        <v>3</v>
      </c>
      <c r="N12" s="9">
        <v>1</v>
      </c>
      <c r="O12" s="13">
        <f t="shared" si="1"/>
        <v>2.1089796275663222</v>
      </c>
      <c r="P12" s="13">
        <f t="shared" si="2"/>
        <v>0.89177289237281054</v>
      </c>
      <c r="Q12" s="13">
        <f t="shared" si="3"/>
        <v>1</v>
      </c>
      <c r="R12" s="13">
        <f t="shared" si="4"/>
        <v>0</v>
      </c>
      <c r="S12" s="13">
        <f t="shared" si="5"/>
        <v>0.89177289237281054</v>
      </c>
      <c r="T12" s="13">
        <f t="shared" si="6"/>
        <v>-0.11454378378269073</v>
      </c>
    </row>
    <row r="13" spans="1:20" x14ac:dyDescent="0.3">
      <c r="A13" s="9">
        <v>57</v>
      </c>
      <c r="B13" s="9">
        <v>0</v>
      </c>
      <c r="C13" s="9">
        <v>4</v>
      </c>
      <c r="D13" s="9">
        <v>120</v>
      </c>
      <c r="E13" s="9">
        <v>354</v>
      </c>
      <c r="F13" s="9">
        <v>0</v>
      </c>
      <c r="G13" s="9">
        <v>0</v>
      </c>
      <c r="H13" s="9">
        <v>163</v>
      </c>
      <c r="I13" s="9">
        <v>1</v>
      </c>
      <c r="J13" s="9">
        <v>0.6</v>
      </c>
      <c r="K13" s="9">
        <v>1</v>
      </c>
      <c r="L13" s="9">
        <v>0</v>
      </c>
      <c r="M13" s="9">
        <v>3</v>
      </c>
      <c r="N13" s="9">
        <v>0</v>
      </c>
      <c r="O13" s="13">
        <f t="shared" si="1"/>
        <v>-1.9155045326590407</v>
      </c>
      <c r="P13" s="13">
        <f t="shared" si="2"/>
        <v>0.12836370851271736</v>
      </c>
      <c r="Q13" s="13">
        <f t="shared" si="3"/>
        <v>0</v>
      </c>
      <c r="R13" s="13">
        <f t="shared" si="4"/>
        <v>0</v>
      </c>
      <c r="S13" s="13">
        <f t="shared" si="5"/>
        <v>0.87163629148728261</v>
      </c>
      <c r="T13" s="13">
        <f t="shared" si="6"/>
        <v>-0.13738303900052592</v>
      </c>
    </row>
    <row r="14" spans="1:20" x14ac:dyDescent="0.3">
      <c r="A14" s="9">
        <v>63</v>
      </c>
      <c r="B14" s="9">
        <v>1</v>
      </c>
      <c r="C14" s="9">
        <v>4</v>
      </c>
      <c r="D14" s="9">
        <v>130</v>
      </c>
      <c r="E14" s="9">
        <v>254</v>
      </c>
      <c r="F14" s="9">
        <v>0</v>
      </c>
      <c r="G14" s="9">
        <v>2</v>
      </c>
      <c r="H14" s="9">
        <v>147</v>
      </c>
      <c r="I14" s="9">
        <v>0</v>
      </c>
      <c r="J14" s="9">
        <v>1.4</v>
      </c>
      <c r="K14" s="9">
        <v>2</v>
      </c>
      <c r="L14" s="9">
        <v>1</v>
      </c>
      <c r="M14" s="9">
        <v>7</v>
      </c>
      <c r="N14" s="9">
        <v>1</v>
      </c>
      <c r="O14" s="13">
        <f t="shared" si="1"/>
        <v>2.3595636022213817</v>
      </c>
      <c r="P14" s="13">
        <f t="shared" si="2"/>
        <v>0.91369139763742624</v>
      </c>
      <c r="Q14" s="13">
        <f>IF(P14&lt;=0.5, 0, 1)</f>
        <v>1</v>
      </c>
      <c r="R14" s="13">
        <f t="shared" si="4"/>
        <v>0</v>
      </c>
      <c r="S14" s="13">
        <f t="shared" si="5"/>
        <v>0.91369139763742624</v>
      </c>
      <c r="T14" s="13">
        <f t="shared" si="6"/>
        <v>-9.0262403887345521E-2</v>
      </c>
    </row>
    <row r="15" spans="1:20" x14ac:dyDescent="0.3">
      <c r="A15" s="9">
        <v>53</v>
      </c>
      <c r="B15" s="9">
        <v>1</v>
      </c>
      <c r="C15" s="9">
        <v>4</v>
      </c>
      <c r="D15" s="9">
        <v>140</v>
      </c>
      <c r="E15" s="9">
        <v>203</v>
      </c>
      <c r="F15" s="9">
        <v>1</v>
      </c>
      <c r="G15" s="9">
        <v>2</v>
      </c>
      <c r="H15" s="9">
        <v>155</v>
      </c>
      <c r="I15" s="9">
        <v>1</v>
      </c>
      <c r="J15" s="9">
        <v>3.1</v>
      </c>
      <c r="K15" s="9">
        <v>3</v>
      </c>
      <c r="L15" s="9">
        <v>0</v>
      </c>
      <c r="M15" s="9">
        <v>7</v>
      </c>
      <c r="N15" s="9">
        <v>1</v>
      </c>
      <c r="O15" s="13">
        <f t="shared" si="1"/>
        <v>1.9488556056277879</v>
      </c>
      <c r="P15" s="13">
        <f t="shared" si="2"/>
        <v>0.87532180363297329</v>
      </c>
      <c r="Q15" s="13">
        <f t="shared" si="3"/>
        <v>1</v>
      </c>
      <c r="R15" s="13">
        <f t="shared" si="4"/>
        <v>0</v>
      </c>
      <c r="S15" s="13">
        <f t="shared" si="5"/>
        <v>0.87532180363297329</v>
      </c>
      <c r="T15" s="13">
        <f t="shared" si="6"/>
        <v>-0.13316368465684347</v>
      </c>
    </row>
    <row r="16" spans="1:20" x14ac:dyDescent="0.3">
      <c r="A16" s="9">
        <v>57</v>
      </c>
      <c r="B16" s="9">
        <v>1</v>
      </c>
      <c r="C16" s="9">
        <v>4</v>
      </c>
      <c r="D16" s="9">
        <v>140</v>
      </c>
      <c r="E16" s="9">
        <v>192</v>
      </c>
      <c r="F16" s="9">
        <v>0</v>
      </c>
      <c r="G16" s="9">
        <v>0</v>
      </c>
      <c r="H16" s="9">
        <v>148</v>
      </c>
      <c r="I16" s="9">
        <v>0</v>
      </c>
      <c r="J16" s="9">
        <v>0.4</v>
      </c>
      <c r="K16" s="9">
        <v>2</v>
      </c>
      <c r="L16" s="9">
        <v>0</v>
      </c>
      <c r="M16" s="9">
        <v>6</v>
      </c>
      <c r="N16" s="9">
        <v>0</v>
      </c>
      <c r="O16" s="13">
        <f t="shared" si="1"/>
        <v>5.6706899501852703E-3</v>
      </c>
      <c r="P16" s="13">
        <f t="shared" si="2"/>
        <v>0.50141766868858317</v>
      </c>
      <c r="Q16" s="13">
        <f t="shared" si="3"/>
        <v>1</v>
      </c>
      <c r="R16" s="13">
        <f t="shared" si="4"/>
        <v>1</v>
      </c>
      <c r="S16" s="13">
        <f t="shared" si="5"/>
        <v>0.49858233131141683</v>
      </c>
      <c r="T16" s="13">
        <f t="shared" si="6"/>
        <v>-0.69598654512021607</v>
      </c>
    </row>
    <row r="17" spans="1:20" x14ac:dyDescent="0.3">
      <c r="A17" s="9">
        <v>56</v>
      </c>
      <c r="B17" s="9">
        <v>0</v>
      </c>
      <c r="C17" s="9">
        <v>2</v>
      </c>
      <c r="D17" s="9">
        <v>140</v>
      </c>
      <c r="E17" s="9">
        <v>294</v>
      </c>
      <c r="F17" s="9">
        <v>0</v>
      </c>
      <c r="G17" s="9">
        <v>2</v>
      </c>
      <c r="H17" s="9">
        <v>153</v>
      </c>
      <c r="I17" s="9">
        <v>0</v>
      </c>
      <c r="J17" s="9">
        <v>1.3</v>
      </c>
      <c r="K17" s="9">
        <v>2</v>
      </c>
      <c r="L17" s="9">
        <v>0</v>
      </c>
      <c r="M17" s="9">
        <v>3</v>
      </c>
      <c r="N17" s="9">
        <v>0</v>
      </c>
      <c r="O17" s="13">
        <f t="shared" si="1"/>
        <v>-2.3567199914141721</v>
      </c>
      <c r="P17" s="13">
        <f t="shared" si="2"/>
        <v>8.6533111839496857E-2</v>
      </c>
      <c r="Q17" s="13">
        <f t="shared" si="3"/>
        <v>0</v>
      </c>
      <c r="R17" s="13">
        <f t="shared" si="4"/>
        <v>0</v>
      </c>
      <c r="S17" s="13">
        <f t="shared" si="5"/>
        <v>0.91346688816050314</v>
      </c>
      <c r="T17" s="13">
        <f t="shared" si="6"/>
        <v>-9.0508151045430321E-2</v>
      </c>
    </row>
    <row r="18" spans="1:20" x14ac:dyDescent="0.3">
      <c r="A18" s="9">
        <v>56</v>
      </c>
      <c r="B18" s="9">
        <v>1</v>
      </c>
      <c r="C18" s="9">
        <v>3</v>
      </c>
      <c r="D18" s="9">
        <v>130</v>
      </c>
      <c r="E18" s="9">
        <v>256</v>
      </c>
      <c r="F18" s="9">
        <v>1</v>
      </c>
      <c r="G18" s="9">
        <v>2</v>
      </c>
      <c r="H18" s="9">
        <v>142</v>
      </c>
      <c r="I18" s="9">
        <v>1</v>
      </c>
      <c r="J18" s="9">
        <v>0.6</v>
      </c>
      <c r="K18" s="9">
        <v>2</v>
      </c>
      <c r="L18" s="9">
        <v>1</v>
      </c>
      <c r="M18" s="9">
        <v>6</v>
      </c>
      <c r="N18" s="9">
        <v>1</v>
      </c>
      <c r="O18" s="13">
        <f t="shared" si="1"/>
        <v>1.3589950580612005</v>
      </c>
      <c r="P18" s="13">
        <f t="shared" si="2"/>
        <v>0.79559631977450318</v>
      </c>
      <c r="Q18" s="13">
        <f t="shared" si="3"/>
        <v>1</v>
      </c>
      <c r="R18" s="13">
        <f t="shared" si="4"/>
        <v>0</v>
      </c>
      <c r="S18" s="13">
        <f t="shared" si="5"/>
        <v>0.79559631977450318</v>
      </c>
      <c r="T18" s="13">
        <f t="shared" si="6"/>
        <v>-0.22866335773636806</v>
      </c>
    </row>
    <row r="19" spans="1:20" x14ac:dyDescent="0.3">
      <c r="A19" s="9">
        <v>44</v>
      </c>
      <c r="B19" s="9">
        <v>1</v>
      </c>
      <c r="C19" s="9">
        <v>2</v>
      </c>
      <c r="D19" s="9">
        <v>120</v>
      </c>
      <c r="E19" s="9">
        <v>263</v>
      </c>
      <c r="F19" s="9">
        <v>0</v>
      </c>
      <c r="G19" s="9">
        <v>0</v>
      </c>
      <c r="H19" s="9">
        <v>173</v>
      </c>
      <c r="I19" s="9">
        <v>0</v>
      </c>
      <c r="J19" s="9">
        <v>0</v>
      </c>
      <c r="K19" s="9">
        <v>1</v>
      </c>
      <c r="L19" s="9">
        <v>0</v>
      </c>
      <c r="M19" s="9">
        <v>7</v>
      </c>
      <c r="N19" s="9">
        <v>0</v>
      </c>
      <c r="O19" s="13">
        <f t="shared" si="1"/>
        <v>-1.9299233781292493</v>
      </c>
      <c r="P19" s="13">
        <f t="shared" si="2"/>
        <v>0.12675906124653505</v>
      </c>
      <c r="Q19" s="13">
        <f t="shared" si="3"/>
        <v>0</v>
      </c>
      <c r="R19" s="13">
        <f t="shared" si="4"/>
        <v>0</v>
      </c>
      <c r="S19" s="13">
        <f t="shared" si="5"/>
        <v>0.87324093875346498</v>
      </c>
      <c r="T19" s="13">
        <f t="shared" si="6"/>
        <v>-0.1355437718122838</v>
      </c>
    </row>
    <row r="20" spans="1:20" x14ac:dyDescent="0.3">
      <c r="A20" s="9">
        <v>52</v>
      </c>
      <c r="B20" s="9">
        <v>1</v>
      </c>
      <c r="C20" s="9">
        <v>3</v>
      </c>
      <c r="D20" s="9">
        <v>172</v>
      </c>
      <c r="E20" s="9">
        <v>199</v>
      </c>
      <c r="F20" s="9">
        <v>1</v>
      </c>
      <c r="G20" s="9">
        <v>0</v>
      </c>
      <c r="H20" s="9">
        <v>162</v>
      </c>
      <c r="I20" s="9">
        <v>0</v>
      </c>
      <c r="J20" s="9">
        <v>0.5</v>
      </c>
      <c r="K20" s="9">
        <v>1</v>
      </c>
      <c r="L20" s="9">
        <v>0</v>
      </c>
      <c r="M20" s="9">
        <v>7</v>
      </c>
      <c r="N20" s="9">
        <v>0</v>
      </c>
      <c r="O20" s="13">
        <f t="shared" si="1"/>
        <v>-1.2076668910162303</v>
      </c>
      <c r="P20" s="13">
        <f t="shared" si="2"/>
        <v>0.23011412802059633</v>
      </c>
      <c r="Q20" s="13">
        <f t="shared" si="3"/>
        <v>0</v>
      </c>
      <c r="R20" s="13">
        <f t="shared" si="4"/>
        <v>0</v>
      </c>
      <c r="S20" s="13">
        <f t="shared" si="5"/>
        <v>0.76988587197940372</v>
      </c>
      <c r="T20" s="13">
        <f t="shared" si="6"/>
        <v>-0.2615129933283783</v>
      </c>
    </row>
    <row r="21" spans="1:20" x14ac:dyDescent="0.3">
      <c r="A21" s="9">
        <v>57</v>
      </c>
      <c r="B21" s="9">
        <v>1</v>
      </c>
      <c r="C21" s="9">
        <v>3</v>
      </c>
      <c r="D21" s="9">
        <v>150</v>
      </c>
      <c r="E21" s="9">
        <v>168</v>
      </c>
      <c r="F21" s="9">
        <v>0</v>
      </c>
      <c r="G21" s="9">
        <v>0</v>
      </c>
      <c r="H21" s="9">
        <v>174</v>
      </c>
      <c r="I21" s="9">
        <v>0</v>
      </c>
      <c r="J21" s="9">
        <v>1.6</v>
      </c>
      <c r="K21" s="9">
        <v>1</v>
      </c>
      <c r="L21" s="9">
        <v>0</v>
      </c>
      <c r="M21" s="9">
        <v>3</v>
      </c>
      <c r="N21" s="9">
        <v>0</v>
      </c>
      <c r="O21" s="13">
        <f t="shared" si="1"/>
        <v>-2.2921560207124703</v>
      </c>
      <c r="P21" s="13">
        <f t="shared" si="2"/>
        <v>9.1774682858644638E-2</v>
      </c>
      <c r="Q21" s="13">
        <f>IF(P21&lt;=0.5, 0, 1)</f>
        <v>0</v>
      </c>
      <c r="R21" s="13">
        <f t="shared" si="4"/>
        <v>0</v>
      </c>
      <c r="S21" s="13">
        <f t="shared" si="5"/>
        <v>0.90822531714135535</v>
      </c>
      <c r="T21" s="13">
        <f t="shared" si="6"/>
        <v>-9.6262784532678086E-2</v>
      </c>
    </row>
    <row r="22" spans="1:20" x14ac:dyDescent="0.3">
      <c r="A22" s="9">
        <v>48</v>
      </c>
      <c r="B22" s="9">
        <v>1</v>
      </c>
      <c r="C22" s="9">
        <v>2</v>
      </c>
      <c r="D22" s="9">
        <v>110</v>
      </c>
      <c r="E22" s="9">
        <v>229</v>
      </c>
      <c r="F22" s="9">
        <v>0</v>
      </c>
      <c r="G22" s="9">
        <v>0</v>
      </c>
      <c r="H22" s="9">
        <v>168</v>
      </c>
      <c r="I22" s="9">
        <v>0</v>
      </c>
      <c r="J22" s="9">
        <v>1</v>
      </c>
      <c r="K22" s="9">
        <v>3</v>
      </c>
      <c r="L22" s="9">
        <v>0</v>
      </c>
      <c r="M22" s="9">
        <v>7</v>
      </c>
      <c r="N22" s="9">
        <v>1</v>
      </c>
      <c r="O22" s="13">
        <f t="shared" si="1"/>
        <v>-0.90619773063514408</v>
      </c>
      <c r="P22" s="13">
        <f t="shared" si="2"/>
        <v>0.2877785288782399</v>
      </c>
      <c r="Q22" s="13">
        <f t="shared" si="3"/>
        <v>0</v>
      </c>
      <c r="R22" s="13">
        <f t="shared" si="4"/>
        <v>1</v>
      </c>
      <c r="S22" s="13">
        <f t="shared" si="5"/>
        <v>0.2877785288782399</v>
      </c>
      <c r="T22" s="13">
        <f t="shared" si="6"/>
        <v>-1.2455640916265731</v>
      </c>
    </row>
    <row r="23" spans="1:20" x14ac:dyDescent="0.3">
      <c r="A23" s="9">
        <v>54</v>
      </c>
      <c r="B23" s="9">
        <v>1</v>
      </c>
      <c r="C23" s="9">
        <v>4</v>
      </c>
      <c r="D23" s="9">
        <v>140</v>
      </c>
      <c r="E23" s="9">
        <v>239</v>
      </c>
      <c r="F23" s="9">
        <v>0</v>
      </c>
      <c r="G23" s="9">
        <v>0</v>
      </c>
      <c r="H23" s="9">
        <v>160</v>
      </c>
      <c r="I23" s="9">
        <v>0</v>
      </c>
      <c r="J23" s="9">
        <v>1.2</v>
      </c>
      <c r="K23" s="9">
        <v>1</v>
      </c>
      <c r="L23" s="9">
        <v>0</v>
      </c>
      <c r="M23" s="9">
        <v>3</v>
      </c>
      <c r="N23" s="9">
        <v>0</v>
      </c>
      <c r="O23" s="13">
        <f t="shared" si="1"/>
        <v>-1.3694999225863462</v>
      </c>
      <c r="P23" s="13">
        <f t="shared" si="2"/>
        <v>0.20270065347598448</v>
      </c>
      <c r="Q23" s="13">
        <f t="shared" si="3"/>
        <v>0</v>
      </c>
      <c r="R23" s="13">
        <f t="shared" si="4"/>
        <v>0</v>
      </c>
      <c r="S23" s="13">
        <f t="shared" si="5"/>
        <v>0.79729934652401546</v>
      </c>
      <c r="T23" s="13">
        <f t="shared" si="6"/>
        <v>-0.22652507908519154</v>
      </c>
    </row>
    <row r="24" spans="1:20" x14ac:dyDescent="0.3">
      <c r="A24" s="9">
        <v>48</v>
      </c>
      <c r="B24" s="9">
        <v>0</v>
      </c>
      <c r="C24" s="9">
        <v>3</v>
      </c>
      <c r="D24" s="9">
        <v>130</v>
      </c>
      <c r="E24" s="9">
        <v>275</v>
      </c>
      <c r="F24" s="9">
        <v>0</v>
      </c>
      <c r="G24" s="9">
        <v>0</v>
      </c>
      <c r="H24" s="9">
        <v>139</v>
      </c>
      <c r="I24" s="9">
        <v>0</v>
      </c>
      <c r="J24" s="9">
        <v>0.2</v>
      </c>
      <c r="K24" s="9">
        <v>1</v>
      </c>
      <c r="L24" s="9">
        <v>0</v>
      </c>
      <c r="M24" s="9">
        <v>3</v>
      </c>
      <c r="N24" s="9">
        <v>0</v>
      </c>
      <c r="O24" s="13">
        <f t="shared" si="1"/>
        <v>-3.0450297343797095</v>
      </c>
      <c r="P24" s="13">
        <f t="shared" si="2"/>
        <v>4.5432539723970621E-2</v>
      </c>
      <c r="Q24" s="13">
        <f t="shared" si="3"/>
        <v>0</v>
      </c>
      <c r="R24" s="13">
        <f t="shared" si="4"/>
        <v>0</v>
      </c>
      <c r="S24" s="13">
        <f t="shared" si="5"/>
        <v>0.95456746027602934</v>
      </c>
      <c r="T24" s="13">
        <f t="shared" si="6"/>
        <v>-4.6496962278116595E-2</v>
      </c>
    </row>
    <row r="25" spans="1:20" x14ac:dyDescent="0.3">
      <c r="A25" s="9">
        <v>49</v>
      </c>
      <c r="B25" s="9">
        <v>1</v>
      </c>
      <c r="C25" s="9">
        <v>2</v>
      </c>
      <c r="D25" s="9">
        <v>130</v>
      </c>
      <c r="E25" s="9">
        <v>266</v>
      </c>
      <c r="F25" s="9">
        <v>0</v>
      </c>
      <c r="G25" s="9">
        <v>0</v>
      </c>
      <c r="H25" s="9">
        <v>171</v>
      </c>
      <c r="I25" s="9">
        <v>0</v>
      </c>
      <c r="J25" s="9">
        <v>0.6</v>
      </c>
      <c r="K25" s="9">
        <v>1</v>
      </c>
      <c r="L25" s="9">
        <v>0</v>
      </c>
      <c r="M25" s="9">
        <v>3</v>
      </c>
      <c r="N25" s="9">
        <v>0</v>
      </c>
      <c r="O25" s="13">
        <f t="shared" si="1"/>
        <v>-2.931749568953121</v>
      </c>
      <c r="P25" s="13">
        <f t="shared" si="2"/>
        <v>5.0606200397379571E-2</v>
      </c>
      <c r="Q25" s="13">
        <f t="shared" si="3"/>
        <v>0</v>
      </c>
      <c r="R25" s="13">
        <f t="shared" si="4"/>
        <v>0</v>
      </c>
      <c r="S25" s="13">
        <f t="shared" si="5"/>
        <v>0.94939379960262038</v>
      </c>
      <c r="T25" s="13">
        <f t="shared" si="6"/>
        <v>-5.1931603745082301E-2</v>
      </c>
    </row>
    <row r="26" spans="1:20" x14ac:dyDescent="0.3">
      <c r="A26" s="9">
        <v>64</v>
      </c>
      <c r="B26" s="9">
        <v>1</v>
      </c>
      <c r="C26" s="9">
        <v>1</v>
      </c>
      <c r="D26" s="9">
        <v>110</v>
      </c>
      <c r="E26" s="9">
        <v>211</v>
      </c>
      <c r="F26" s="9">
        <v>0</v>
      </c>
      <c r="G26" s="9">
        <v>2</v>
      </c>
      <c r="H26" s="9">
        <v>144</v>
      </c>
      <c r="I26" s="9">
        <v>1</v>
      </c>
      <c r="J26" s="9">
        <v>1.8</v>
      </c>
      <c r="K26" s="9">
        <v>2</v>
      </c>
      <c r="L26" s="9">
        <v>0</v>
      </c>
      <c r="M26" s="9">
        <v>3</v>
      </c>
      <c r="N26" s="9">
        <v>0</v>
      </c>
      <c r="O26" s="13">
        <f t="shared" si="1"/>
        <v>-1.6331286984984565</v>
      </c>
      <c r="P26" s="13">
        <f t="shared" si="2"/>
        <v>0.16340221156320861</v>
      </c>
      <c r="Q26" s="13">
        <f t="shared" si="3"/>
        <v>0</v>
      </c>
      <c r="R26" s="13">
        <f t="shared" si="4"/>
        <v>0</v>
      </c>
      <c r="S26" s="13">
        <f t="shared" si="5"/>
        <v>0.83659778843679145</v>
      </c>
      <c r="T26" s="13">
        <f t="shared" si="6"/>
        <v>-0.17841186349081131</v>
      </c>
    </row>
    <row r="27" spans="1:20" x14ac:dyDescent="0.3">
      <c r="A27" s="9">
        <v>58</v>
      </c>
      <c r="B27" s="9">
        <v>0</v>
      </c>
      <c r="C27" s="9">
        <v>1</v>
      </c>
      <c r="D27" s="9">
        <v>150</v>
      </c>
      <c r="E27" s="9">
        <v>283</v>
      </c>
      <c r="F27" s="9">
        <v>1</v>
      </c>
      <c r="G27" s="9">
        <v>2</v>
      </c>
      <c r="H27" s="9">
        <v>162</v>
      </c>
      <c r="I27" s="9">
        <v>0</v>
      </c>
      <c r="J27" s="9">
        <v>1</v>
      </c>
      <c r="K27" s="9">
        <v>1</v>
      </c>
      <c r="L27" s="9">
        <v>0</v>
      </c>
      <c r="M27" s="9">
        <v>3</v>
      </c>
      <c r="N27" s="9">
        <v>0</v>
      </c>
      <c r="O27" s="13">
        <f t="shared" si="1"/>
        <v>-4.6269986867003379</v>
      </c>
      <c r="P27" s="13">
        <f t="shared" si="2"/>
        <v>9.6892794821784797E-3</v>
      </c>
      <c r="Q27" s="13">
        <f t="shared" si="3"/>
        <v>0</v>
      </c>
      <c r="R27" s="13">
        <f t="shared" si="4"/>
        <v>0</v>
      </c>
      <c r="S27" s="13">
        <f t="shared" si="5"/>
        <v>0.99031072051782154</v>
      </c>
      <c r="T27" s="13">
        <f t="shared" si="6"/>
        <v>-9.7365259880575119E-3</v>
      </c>
    </row>
    <row r="28" spans="1:20" x14ac:dyDescent="0.3">
      <c r="A28" s="9">
        <v>58</v>
      </c>
      <c r="B28" s="9">
        <v>1</v>
      </c>
      <c r="C28" s="9">
        <v>2</v>
      </c>
      <c r="D28" s="9">
        <v>120</v>
      </c>
      <c r="E28" s="9">
        <v>284</v>
      </c>
      <c r="F28" s="9">
        <v>0</v>
      </c>
      <c r="G28" s="9">
        <v>2</v>
      </c>
      <c r="H28" s="9">
        <v>160</v>
      </c>
      <c r="I28" s="9">
        <v>0</v>
      </c>
      <c r="J28" s="9">
        <v>1.8</v>
      </c>
      <c r="K28" s="9">
        <v>2</v>
      </c>
      <c r="L28" s="9">
        <v>0</v>
      </c>
      <c r="M28" s="9">
        <v>3</v>
      </c>
      <c r="N28" s="9">
        <v>1</v>
      </c>
      <c r="O28" s="13">
        <f t="shared" si="1"/>
        <v>-1.6251891492947799</v>
      </c>
      <c r="P28" s="13">
        <f t="shared" si="2"/>
        <v>0.16449046582512994</v>
      </c>
      <c r="Q28" s="13">
        <f t="shared" si="3"/>
        <v>0</v>
      </c>
      <c r="R28" s="13">
        <f t="shared" si="4"/>
        <v>1</v>
      </c>
      <c r="S28" s="13">
        <f t="shared" si="5"/>
        <v>0.16449046582512994</v>
      </c>
      <c r="T28" s="13">
        <f t="shared" si="6"/>
        <v>-1.8049026689662182</v>
      </c>
    </row>
    <row r="29" spans="1:20" x14ac:dyDescent="0.3">
      <c r="A29" s="9">
        <v>58</v>
      </c>
      <c r="B29" s="9">
        <v>1</v>
      </c>
      <c r="C29" s="9">
        <v>3</v>
      </c>
      <c r="D29" s="9">
        <v>132</v>
      </c>
      <c r="E29" s="9">
        <v>224</v>
      </c>
      <c r="F29" s="9">
        <v>0</v>
      </c>
      <c r="G29" s="9">
        <v>2</v>
      </c>
      <c r="H29" s="9">
        <v>173</v>
      </c>
      <c r="I29" s="9">
        <v>0</v>
      </c>
      <c r="J29" s="9">
        <v>3.2</v>
      </c>
      <c r="K29" s="9">
        <v>1</v>
      </c>
      <c r="L29" s="9">
        <v>2</v>
      </c>
      <c r="M29" s="9">
        <v>7</v>
      </c>
      <c r="N29" s="9">
        <v>1</v>
      </c>
      <c r="O29" s="13">
        <f t="shared" si="1"/>
        <v>2.3585553685202534</v>
      </c>
      <c r="P29" s="13">
        <f t="shared" si="2"/>
        <v>0.91361185573494885</v>
      </c>
      <c r="Q29" s="13">
        <f t="shared" si="3"/>
        <v>1</v>
      </c>
      <c r="R29" s="13">
        <f t="shared" si="4"/>
        <v>0</v>
      </c>
      <c r="S29" s="13">
        <f t="shared" si="5"/>
        <v>0.91361185573494885</v>
      </c>
      <c r="T29" s="13">
        <f t="shared" si="6"/>
        <v>-9.0349463221783666E-2</v>
      </c>
    </row>
    <row r="30" spans="1:20" x14ac:dyDescent="0.3">
      <c r="A30" s="9">
        <v>60</v>
      </c>
      <c r="B30" s="9">
        <v>1</v>
      </c>
      <c r="C30" s="9">
        <v>4</v>
      </c>
      <c r="D30" s="9">
        <v>130</v>
      </c>
      <c r="E30" s="9">
        <v>206</v>
      </c>
      <c r="F30" s="9">
        <v>0</v>
      </c>
      <c r="G30" s="9">
        <v>2</v>
      </c>
      <c r="H30" s="9">
        <v>132</v>
      </c>
      <c r="I30" s="9">
        <v>1</v>
      </c>
      <c r="J30" s="9">
        <v>2.4</v>
      </c>
      <c r="K30" s="9">
        <v>2</v>
      </c>
      <c r="L30" s="9">
        <v>2</v>
      </c>
      <c r="M30" s="9">
        <v>7</v>
      </c>
      <c r="N30" s="9">
        <v>1</v>
      </c>
      <c r="O30" s="13">
        <f t="shared" si="1"/>
        <v>4.9141286312180732</v>
      </c>
      <c r="P30" s="13">
        <f t="shared" si="2"/>
        <v>0.99271140092280097</v>
      </c>
      <c r="Q30" s="13">
        <f t="shared" si="3"/>
        <v>1</v>
      </c>
      <c r="R30" s="13">
        <f t="shared" si="4"/>
        <v>0</v>
      </c>
      <c r="S30" s="13">
        <f t="shared" si="5"/>
        <v>0.99271140092280097</v>
      </c>
      <c r="T30" s="13">
        <f t="shared" si="6"/>
        <v>-7.3152906908498933E-3</v>
      </c>
    </row>
    <row r="31" spans="1:20" x14ac:dyDescent="0.3">
      <c r="A31" s="9">
        <v>50</v>
      </c>
      <c r="B31" s="9">
        <v>0</v>
      </c>
      <c r="C31" s="9">
        <v>3</v>
      </c>
      <c r="D31" s="9">
        <v>120</v>
      </c>
      <c r="E31" s="9">
        <v>219</v>
      </c>
      <c r="F31" s="9">
        <v>0</v>
      </c>
      <c r="G31" s="9">
        <v>0</v>
      </c>
      <c r="H31" s="9">
        <v>158</v>
      </c>
      <c r="I31" s="9">
        <v>0</v>
      </c>
      <c r="J31" s="9">
        <v>1.6</v>
      </c>
      <c r="K31" s="9">
        <v>2</v>
      </c>
      <c r="L31" s="9">
        <v>0</v>
      </c>
      <c r="M31" s="9">
        <v>3</v>
      </c>
      <c r="N31" s="9">
        <v>0</v>
      </c>
      <c r="O31" s="13">
        <f t="shared" si="1"/>
        <v>-3.0699091096154092</v>
      </c>
      <c r="P31" s="13">
        <f t="shared" si="2"/>
        <v>4.4365680942594916E-2</v>
      </c>
      <c r="Q31" s="13">
        <f t="shared" si="3"/>
        <v>0</v>
      </c>
      <c r="R31" s="13">
        <f t="shared" si="4"/>
        <v>0</v>
      </c>
      <c r="S31" s="13">
        <f t="shared" si="5"/>
        <v>0.95563431905740504</v>
      </c>
      <c r="T31" s="13">
        <f t="shared" si="6"/>
        <v>-4.5379950553129135E-2</v>
      </c>
    </row>
    <row r="32" spans="1:20" x14ac:dyDescent="0.3">
      <c r="A32" s="9">
        <v>58</v>
      </c>
      <c r="B32" s="9">
        <v>0</v>
      </c>
      <c r="C32" s="9">
        <v>3</v>
      </c>
      <c r="D32" s="9">
        <v>120</v>
      </c>
      <c r="E32" s="9">
        <v>340</v>
      </c>
      <c r="F32" s="9">
        <v>0</v>
      </c>
      <c r="G32" s="9">
        <v>0</v>
      </c>
      <c r="H32" s="9">
        <v>172</v>
      </c>
      <c r="I32" s="9">
        <v>0</v>
      </c>
      <c r="J32" s="9">
        <v>0</v>
      </c>
      <c r="K32" s="9">
        <v>1</v>
      </c>
      <c r="L32" s="9">
        <v>0</v>
      </c>
      <c r="M32" s="9">
        <v>3</v>
      </c>
      <c r="N32" s="9">
        <v>0</v>
      </c>
      <c r="O32" s="13">
        <f t="shared" si="1"/>
        <v>-3.8356474595951622</v>
      </c>
      <c r="P32" s="13">
        <f t="shared" si="2"/>
        <v>2.11311904508594E-2</v>
      </c>
      <c r="Q32" s="13">
        <f t="shared" si="3"/>
        <v>0</v>
      </c>
      <c r="R32" s="13">
        <f t="shared" si="4"/>
        <v>0</v>
      </c>
      <c r="S32" s="13">
        <f t="shared" si="5"/>
        <v>0.97886880954914057</v>
      </c>
      <c r="T32" s="13">
        <f t="shared" si="6"/>
        <v>-2.1357649977370493E-2</v>
      </c>
    </row>
    <row r="33" spans="1:20" x14ac:dyDescent="0.3">
      <c r="A33" s="9">
        <v>66</v>
      </c>
      <c r="B33" s="9">
        <v>0</v>
      </c>
      <c r="C33" s="9">
        <v>1</v>
      </c>
      <c r="D33" s="9">
        <v>150</v>
      </c>
      <c r="E33" s="9">
        <v>226</v>
      </c>
      <c r="F33" s="9">
        <v>0</v>
      </c>
      <c r="G33" s="9">
        <v>0</v>
      </c>
      <c r="H33" s="9">
        <v>114</v>
      </c>
      <c r="I33" s="9">
        <v>0</v>
      </c>
      <c r="J33" s="9">
        <v>2.6</v>
      </c>
      <c r="K33" s="9">
        <v>3</v>
      </c>
      <c r="L33" s="9">
        <v>0</v>
      </c>
      <c r="M33" s="9">
        <v>3</v>
      </c>
      <c r="N33" s="9">
        <v>0</v>
      </c>
      <c r="O33" s="13">
        <f t="shared" si="1"/>
        <v>-1.9651908172228634</v>
      </c>
      <c r="P33" s="13">
        <f t="shared" si="2"/>
        <v>0.12290637917949847</v>
      </c>
      <c r="Q33" s="13">
        <f t="shared" si="3"/>
        <v>0</v>
      </c>
      <c r="R33" s="13">
        <f t="shared" si="4"/>
        <v>0</v>
      </c>
      <c r="S33" s="13">
        <f t="shared" si="5"/>
        <v>0.87709362082050157</v>
      </c>
      <c r="T33" s="13">
        <f t="shared" si="6"/>
        <v>-0.13114154108681975</v>
      </c>
    </row>
    <row r="34" spans="1:20" x14ac:dyDescent="0.3">
      <c r="A34" s="9">
        <v>43</v>
      </c>
      <c r="B34" s="9">
        <v>1</v>
      </c>
      <c r="C34" s="9">
        <v>4</v>
      </c>
      <c r="D34" s="9">
        <v>150</v>
      </c>
      <c r="E34" s="9">
        <v>247</v>
      </c>
      <c r="F34" s="9">
        <v>0</v>
      </c>
      <c r="G34" s="9">
        <v>0</v>
      </c>
      <c r="H34" s="9">
        <v>171</v>
      </c>
      <c r="I34" s="9">
        <v>0</v>
      </c>
      <c r="J34" s="9">
        <v>1.5</v>
      </c>
      <c r="K34" s="9">
        <v>1</v>
      </c>
      <c r="L34" s="9">
        <v>0</v>
      </c>
      <c r="M34" s="9">
        <v>3</v>
      </c>
      <c r="N34" s="9">
        <v>0</v>
      </c>
      <c r="O34" s="13">
        <f t="shared" si="1"/>
        <v>-1.086780601726808</v>
      </c>
      <c r="P34" s="13">
        <f t="shared" si="2"/>
        <v>0.25222499671146725</v>
      </c>
      <c r="Q34" s="13">
        <f t="shared" si="3"/>
        <v>0</v>
      </c>
      <c r="R34" s="13">
        <f t="shared" si="4"/>
        <v>0</v>
      </c>
      <c r="S34" s="13">
        <f t="shared" si="5"/>
        <v>0.74777500328853275</v>
      </c>
      <c r="T34" s="13">
        <f t="shared" si="6"/>
        <v>-0.29065314399897813</v>
      </c>
    </row>
    <row r="35" spans="1:20" x14ac:dyDescent="0.3">
      <c r="A35" s="9">
        <v>40</v>
      </c>
      <c r="B35" s="9">
        <v>1</v>
      </c>
      <c r="C35" s="9">
        <v>4</v>
      </c>
      <c r="D35" s="9">
        <v>110</v>
      </c>
      <c r="E35" s="9">
        <v>167</v>
      </c>
      <c r="F35" s="9">
        <v>0</v>
      </c>
      <c r="G35" s="9">
        <v>2</v>
      </c>
      <c r="H35" s="9">
        <v>114</v>
      </c>
      <c r="I35" s="9">
        <v>1</v>
      </c>
      <c r="J35" s="9">
        <v>2</v>
      </c>
      <c r="K35" s="9">
        <v>2</v>
      </c>
      <c r="L35" s="9">
        <v>0</v>
      </c>
      <c r="M35" s="9">
        <v>7</v>
      </c>
      <c r="N35" s="9">
        <v>1</v>
      </c>
      <c r="O35" s="13">
        <f t="shared" si="1"/>
        <v>2.2615014700396152</v>
      </c>
      <c r="P35" s="13">
        <f t="shared" si="2"/>
        <v>0.90563802154194195</v>
      </c>
      <c r="Q35" s="13">
        <f t="shared" si="3"/>
        <v>1</v>
      </c>
      <c r="R35" s="13">
        <f t="shared" si="4"/>
        <v>0</v>
      </c>
      <c r="S35" s="13">
        <f t="shared" si="5"/>
        <v>0.90563802154194195</v>
      </c>
      <c r="T35" s="13">
        <f t="shared" si="6"/>
        <v>-9.9115587496338461E-2</v>
      </c>
    </row>
    <row r="36" spans="1:20" x14ac:dyDescent="0.3">
      <c r="A36" s="9">
        <v>69</v>
      </c>
      <c r="B36" s="9">
        <v>0</v>
      </c>
      <c r="C36" s="9">
        <v>1</v>
      </c>
      <c r="D36" s="9">
        <v>140</v>
      </c>
      <c r="E36" s="9">
        <v>239</v>
      </c>
      <c r="F36" s="9">
        <v>0</v>
      </c>
      <c r="G36" s="9">
        <v>0</v>
      </c>
      <c r="H36" s="9">
        <v>151</v>
      </c>
      <c r="I36" s="9">
        <v>0</v>
      </c>
      <c r="J36" s="9">
        <v>1.8</v>
      </c>
      <c r="K36" s="9">
        <v>1</v>
      </c>
      <c r="L36" s="9">
        <v>2</v>
      </c>
      <c r="M36" s="9">
        <v>3</v>
      </c>
      <c r="N36" s="9">
        <v>0</v>
      </c>
      <c r="O36" s="13">
        <f t="shared" si="1"/>
        <v>-1.7509128272331278</v>
      </c>
      <c r="P36" s="13">
        <f t="shared" si="2"/>
        <v>0.14793210082555927</v>
      </c>
      <c r="Q36" s="13">
        <f t="shared" si="3"/>
        <v>0</v>
      </c>
      <c r="R36" s="13">
        <f t="shared" si="4"/>
        <v>0</v>
      </c>
      <c r="S36" s="13">
        <f t="shared" si="5"/>
        <v>0.8520678991744407</v>
      </c>
      <c r="T36" s="13">
        <f t="shared" si="6"/>
        <v>-0.16008906146149438</v>
      </c>
    </row>
    <row r="37" spans="1:20" x14ac:dyDescent="0.3">
      <c r="A37" s="9">
        <v>60</v>
      </c>
      <c r="B37" s="9">
        <v>1</v>
      </c>
      <c r="C37" s="9">
        <v>4</v>
      </c>
      <c r="D37" s="9">
        <v>117</v>
      </c>
      <c r="E37" s="9">
        <v>230</v>
      </c>
      <c r="F37" s="9">
        <v>1</v>
      </c>
      <c r="G37" s="9">
        <v>0</v>
      </c>
      <c r="H37" s="9">
        <v>160</v>
      </c>
      <c r="I37" s="9">
        <v>1</v>
      </c>
      <c r="J37" s="9">
        <v>1.4</v>
      </c>
      <c r="K37" s="9">
        <v>1</v>
      </c>
      <c r="L37" s="9">
        <v>2</v>
      </c>
      <c r="M37" s="9">
        <v>7</v>
      </c>
      <c r="N37" s="9">
        <v>1</v>
      </c>
      <c r="O37" s="13">
        <f t="shared" si="1"/>
        <v>1.8128583689048678</v>
      </c>
      <c r="P37" s="13">
        <f t="shared" si="2"/>
        <v>0.85970697927420692</v>
      </c>
      <c r="Q37" s="13">
        <f t="shared" si="3"/>
        <v>1</v>
      </c>
      <c r="R37" s="13">
        <f t="shared" si="4"/>
        <v>0</v>
      </c>
      <c r="S37" s="13">
        <f t="shared" si="5"/>
        <v>0.85970697927420692</v>
      </c>
      <c r="T37" s="13">
        <f t="shared" si="6"/>
        <v>-0.15116366956761365</v>
      </c>
    </row>
    <row r="38" spans="1:20" x14ac:dyDescent="0.3">
      <c r="A38" s="9">
        <v>64</v>
      </c>
      <c r="B38" s="9">
        <v>1</v>
      </c>
      <c r="C38" s="9">
        <v>3</v>
      </c>
      <c r="D38" s="9">
        <v>140</v>
      </c>
      <c r="E38" s="9">
        <v>335</v>
      </c>
      <c r="F38" s="9">
        <v>0</v>
      </c>
      <c r="G38" s="9">
        <v>0</v>
      </c>
      <c r="H38" s="9">
        <v>158</v>
      </c>
      <c r="I38" s="9">
        <v>0</v>
      </c>
      <c r="J38" s="9">
        <v>0</v>
      </c>
      <c r="K38" s="9">
        <v>1</v>
      </c>
      <c r="L38" s="9">
        <v>0</v>
      </c>
      <c r="M38" s="9">
        <v>3</v>
      </c>
      <c r="N38" s="9">
        <v>1</v>
      </c>
      <c r="O38" s="13">
        <f t="shared" si="1"/>
        <v>-1.8641996576435833</v>
      </c>
      <c r="P38" s="13">
        <f t="shared" si="2"/>
        <v>0.13421429819581779</v>
      </c>
      <c r="Q38" s="13">
        <f t="shared" si="3"/>
        <v>0</v>
      </c>
      <c r="R38" s="13">
        <f t="shared" si="4"/>
        <v>1</v>
      </c>
      <c r="S38" s="13">
        <f t="shared" si="5"/>
        <v>0.13421429819581779</v>
      </c>
      <c r="T38" s="13">
        <f t="shared" si="6"/>
        <v>-2.0083175161868887</v>
      </c>
    </row>
    <row r="39" spans="1:20" x14ac:dyDescent="0.3">
      <c r="A39" s="9">
        <v>59</v>
      </c>
      <c r="B39" s="9">
        <v>1</v>
      </c>
      <c r="C39" s="9">
        <v>4</v>
      </c>
      <c r="D39" s="9">
        <v>135</v>
      </c>
      <c r="E39" s="9">
        <v>234</v>
      </c>
      <c r="F39" s="9">
        <v>0</v>
      </c>
      <c r="G39" s="9">
        <v>0</v>
      </c>
      <c r="H39" s="9">
        <v>161</v>
      </c>
      <c r="I39" s="9">
        <v>0</v>
      </c>
      <c r="J39" s="9">
        <v>0.5</v>
      </c>
      <c r="K39" s="9">
        <v>2</v>
      </c>
      <c r="L39" s="9">
        <v>0</v>
      </c>
      <c r="M39" s="9">
        <v>7</v>
      </c>
      <c r="N39" s="9">
        <v>0</v>
      </c>
      <c r="O39" s="13">
        <f t="shared" si="1"/>
        <v>0.16615601906874566</v>
      </c>
      <c r="P39" s="13">
        <f t="shared" si="2"/>
        <v>0.54144370108146578</v>
      </c>
      <c r="Q39" s="13">
        <f t="shared" si="3"/>
        <v>1</v>
      </c>
      <c r="R39" s="13">
        <f t="shared" si="4"/>
        <v>1</v>
      </c>
      <c r="S39" s="13">
        <f t="shared" si="5"/>
        <v>0.45855629891853422</v>
      </c>
      <c r="T39" s="13">
        <f t="shared" si="6"/>
        <v>-0.77967220547021243</v>
      </c>
    </row>
    <row r="40" spans="1:20" x14ac:dyDescent="0.3">
      <c r="A40" s="9">
        <v>44</v>
      </c>
      <c r="B40" s="9">
        <v>1</v>
      </c>
      <c r="C40" s="9">
        <v>3</v>
      </c>
      <c r="D40" s="9">
        <v>130</v>
      </c>
      <c r="E40" s="9">
        <v>233</v>
      </c>
      <c r="F40" s="9">
        <v>0</v>
      </c>
      <c r="G40" s="9">
        <v>0</v>
      </c>
      <c r="H40" s="9">
        <v>179</v>
      </c>
      <c r="I40" s="9">
        <v>1</v>
      </c>
      <c r="J40" s="9">
        <v>0.4</v>
      </c>
      <c r="K40" s="9">
        <v>1</v>
      </c>
      <c r="L40" s="9">
        <v>0</v>
      </c>
      <c r="M40" s="9">
        <v>3</v>
      </c>
      <c r="N40" s="9">
        <v>0</v>
      </c>
      <c r="O40" s="13">
        <f t="shared" si="1"/>
        <v>-1.7388243698611898</v>
      </c>
      <c r="P40" s="13">
        <f t="shared" si="2"/>
        <v>0.14946232297657039</v>
      </c>
      <c r="Q40" s="13">
        <f t="shared" si="3"/>
        <v>0</v>
      </c>
      <c r="R40" s="13">
        <f t="shared" si="4"/>
        <v>0</v>
      </c>
      <c r="S40" s="13">
        <f t="shared" si="5"/>
        <v>0.85053767702342964</v>
      </c>
      <c r="T40" s="13">
        <f t="shared" si="6"/>
        <v>-0.16188656827624878</v>
      </c>
    </row>
    <row r="41" spans="1:20" x14ac:dyDescent="0.3">
      <c r="A41" s="9">
        <v>42</v>
      </c>
      <c r="B41" s="9">
        <v>1</v>
      </c>
      <c r="C41" s="9">
        <v>4</v>
      </c>
      <c r="D41" s="9">
        <v>140</v>
      </c>
      <c r="E41" s="9">
        <v>226</v>
      </c>
      <c r="F41" s="9">
        <v>0</v>
      </c>
      <c r="G41" s="9">
        <v>0</v>
      </c>
      <c r="H41" s="9">
        <v>178</v>
      </c>
      <c r="I41" s="9">
        <v>0</v>
      </c>
      <c r="J41" s="9">
        <v>0</v>
      </c>
      <c r="K41" s="9">
        <v>1</v>
      </c>
      <c r="L41" s="9">
        <v>0</v>
      </c>
      <c r="M41" s="9">
        <v>3</v>
      </c>
      <c r="N41" s="9">
        <v>0</v>
      </c>
      <c r="O41" s="13">
        <f t="shared" si="1"/>
        <v>-1.933440046788375</v>
      </c>
      <c r="P41" s="13">
        <f t="shared" si="2"/>
        <v>0.12637030763181001</v>
      </c>
      <c r="Q41" s="13">
        <f t="shared" si="3"/>
        <v>0</v>
      </c>
      <c r="R41" s="13">
        <f t="shared" si="4"/>
        <v>0</v>
      </c>
      <c r="S41" s="13">
        <f t="shared" si="5"/>
        <v>0.87362969236818999</v>
      </c>
      <c r="T41" s="13">
        <f t="shared" si="6"/>
        <v>-0.135098686052392</v>
      </c>
    </row>
    <row r="42" spans="1:20" x14ac:dyDescent="0.3">
      <c r="A42" s="9">
        <v>43</v>
      </c>
      <c r="B42" s="9">
        <v>1</v>
      </c>
      <c r="C42" s="9">
        <v>4</v>
      </c>
      <c r="D42" s="9">
        <v>120</v>
      </c>
      <c r="E42" s="9">
        <v>177</v>
      </c>
      <c r="F42" s="9">
        <v>0</v>
      </c>
      <c r="G42" s="9">
        <v>2</v>
      </c>
      <c r="H42" s="9">
        <v>120</v>
      </c>
      <c r="I42" s="9">
        <v>1</v>
      </c>
      <c r="J42" s="9">
        <v>2.5</v>
      </c>
      <c r="K42" s="9">
        <v>2</v>
      </c>
      <c r="L42" s="9">
        <v>0</v>
      </c>
      <c r="M42" s="9">
        <v>7</v>
      </c>
      <c r="N42" s="9">
        <v>1</v>
      </c>
      <c r="O42" s="13">
        <f t="shared" si="1"/>
        <v>2.5085139129524379</v>
      </c>
      <c r="P42" s="13">
        <f t="shared" si="2"/>
        <v>0.92473652578070464</v>
      </c>
      <c r="Q42" s="13">
        <f t="shared" si="3"/>
        <v>1</v>
      </c>
      <c r="R42" s="13">
        <f t="shared" si="4"/>
        <v>0</v>
      </c>
      <c r="S42" s="13">
        <f t="shared" si="5"/>
        <v>0.92473652578070464</v>
      </c>
      <c r="T42" s="13">
        <f t="shared" si="6"/>
        <v>-7.8246419037305989E-2</v>
      </c>
    </row>
    <row r="43" spans="1:20" x14ac:dyDescent="0.3">
      <c r="A43" s="9">
        <v>57</v>
      </c>
      <c r="B43" s="9">
        <v>1</v>
      </c>
      <c r="C43" s="9">
        <v>4</v>
      </c>
      <c r="D43" s="9">
        <v>150</v>
      </c>
      <c r="E43" s="9">
        <v>276</v>
      </c>
      <c r="F43" s="9">
        <v>0</v>
      </c>
      <c r="G43" s="9">
        <v>2</v>
      </c>
      <c r="H43" s="9">
        <v>112</v>
      </c>
      <c r="I43" s="9">
        <v>1</v>
      </c>
      <c r="J43" s="9">
        <v>0.6</v>
      </c>
      <c r="K43" s="9">
        <v>2</v>
      </c>
      <c r="L43" s="9">
        <v>1</v>
      </c>
      <c r="M43" s="9">
        <v>6</v>
      </c>
      <c r="N43" s="9">
        <v>1</v>
      </c>
      <c r="O43" s="13">
        <f t="shared" si="1"/>
        <v>4.1429648763541316</v>
      </c>
      <c r="P43" s="13">
        <f t="shared" si="2"/>
        <v>0.98437238734552013</v>
      </c>
      <c r="Q43" s="13">
        <f t="shared" si="3"/>
        <v>1</v>
      </c>
      <c r="R43" s="13">
        <f t="shared" si="4"/>
        <v>0</v>
      </c>
      <c r="S43" s="13">
        <f t="shared" si="5"/>
        <v>0.98437238734552013</v>
      </c>
      <c r="T43" s="13">
        <f t="shared" si="6"/>
        <v>-1.5751011096847269E-2</v>
      </c>
    </row>
    <row r="44" spans="1:20" x14ac:dyDescent="0.3">
      <c r="A44" s="9">
        <v>55</v>
      </c>
      <c r="B44" s="9">
        <v>1</v>
      </c>
      <c r="C44" s="9">
        <v>4</v>
      </c>
      <c r="D44" s="9">
        <v>132</v>
      </c>
      <c r="E44" s="9">
        <v>353</v>
      </c>
      <c r="F44" s="9">
        <v>0</v>
      </c>
      <c r="G44" s="9">
        <v>0</v>
      </c>
      <c r="H44" s="9">
        <v>132</v>
      </c>
      <c r="I44" s="9">
        <v>1</v>
      </c>
      <c r="J44" s="9">
        <v>1.2</v>
      </c>
      <c r="K44" s="9">
        <v>2</v>
      </c>
      <c r="L44" s="9">
        <v>1</v>
      </c>
      <c r="M44" s="9">
        <v>7</v>
      </c>
      <c r="N44" s="9">
        <v>1</v>
      </c>
      <c r="O44" s="13">
        <f t="shared" si="1"/>
        <v>3.7105738435753768</v>
      </c>
      <c r="P44" s="13">
        <f t="shared" si="2"/>
        <v>0.97612069001526702</v>
      </c>
      <c r="Q44" s="13">
        <f t="shared" si="3"/>
        <v>1</v>
      </c>
      <c r="R44" s="13">
        <f t="shared" si="4"/>
        <v>0</v>
      </c>
      <c r="S44" s="13">
        <f t="shared" si="5"/>
        <v>0.97612069001526702</v>
      </c>
      <c r="T44" s="13">
        <f t="shared" si="6"/>
        <v>-2.4169042411512704E-2</v>
      </c>
    </row>
    <row r="45" spans="1:20" x14ac:dyDescent="0.3">
      <c r="A45" s="9">
        <v>61</v>
      </c>
      <c r="B45" s="9">
        <v>1</v>
      </c>
      <c r="C45" s="9">
        <v>3</v>
      </c>
      <c r="D45" s="9">
        <v>150</v>
      </c>
      <c r="E45" s="9">
        <v>243</v>
      </c>
      <c r="F45" s="9">
        <v>1</v>
      </c>
      <c r="G45" s="9">
        <v>0</v>
      </c>
      <c r="H45" s="9">
        <v>137</v>
      </c>
      <c r="I45" s="9">
        <v>1</v>
      </c>
      <c r="J45" s="9">
        <v>1</v>
      </c>
      <c r="K45" s="9">
        <v>2</v>
      </c>
      <c r="L45" s="9">
        <v>0</v>
      </c>
      <c r="M45" s="9">
        <v>3</v>
      </c>
      <c r="N45" s="9">
        <v>0</v>
      </c>
      <c r="O45" s="13">
        <f t="shared" si="1"/>
        <v>-0.88396670817101608</v>
      </c>
      <c r="P45" s="13">
        <f t="shared" si="2"/>
        <v>0.29235645441024305</v>
      </c>
      <c r="Q45" s="13">
        <f t="shared" si="3"/>
        <v>0</v>
      </c>
      <c r="R45" s="13">
        <f t="shared" si="4"/>
        <v>0</v>
      </c>
      <c r="S45" s="13">
        <f t="shared" si="5"/>
        <v>0.70764354558975695</v>
      </c>
      <c r="T45" s="13">
        <f t="shared" si="6"/>
        <v>-0.3458147787514565</v>
      </c>
    </row>
    <row r="46" spans="1:20" x14ac:dyDescent="0.3">
      <c r="A46" s="9">
        <v>65</v>
      </c>
      <c r="B46" s="9">
        <v>0</v>
      </c>
      <c r="C46" s="9">
        <v>4</v>
      </c>
      <c r="D46" s="9">
        <v>150</v>
      </c>
      <c r="E46" s="9">
        <v>225</v>
      </c>
      <c r="F46" s="9">
        <v>0</v>
      </c>
      <c r="G46" s="9">
        <v>2</v>
      </c>
      <c r="H46" s="9">
        <v>114</v>
      </c>
      <c r="I46" s="9">
        <v>0</v>
      </c>
      <c r="J46" s="9">
        <v>1</v>
      </c>
      <c r="K46" s="9">
        <v>2</v>
      </c>
      <c r="L46" s="9">
        <v>3</v>
      </c>
      <c r="M46" s="9">
        <v>7</v>
      </c>
      <c r="N46" s="9">
        <v>1</v>
      </c>
      <c r="O46" s="13">
        <f t="shared" si="1"/>
        <v>4.4749332586524879</v>
      </c>
      <c r="P46" s="13">
        <f t="shared" si="2"/>
        <v>0.98873731074583726</v>
      </c>
      <c r="Q46" s="13">
        <f t="shared" si="3"/>
        <v>1</v>
      </c>
      <c r="R46" s="13">
        <f t="shared" si="4"/>
        <v>0</v>
      </c>
      <c r="S46" s="13">
        <f t="shared" si="5"/>
        <v>0.98873731074583726</v>
      </c>
      <c r="T46" s="13">
        <f t="shared" si="6"/>
        <v>-1.1326593615153875E-2</v>
      </c>
    </row>
    <row r="47" spans="1:20" x14ac:dyDescent="0.3">
      <c r="A47" s="9">
        <v>40</v>
      </c>
      <c r="B47" s="9">
        <v>1</v>
      </c>
      <c r="C47" s="9">
        <v>1</v>
      </c>
      <c r="D47" s="9">
        <v>140</v>
      </c>
      <c r="E47" s="9">
        <v>199</v>
      </c>
      <c r="F47" s="9">
        <v>0</v>
      </c>
      <c r="G47" s="9">
        <v>0</v>
      </c>
      <c r="H47" s="9">
        <v>178</v>
      </c>
      <c r="I47" s="9">
        <v>1</v>
      </c>
      <c r="J47" s="9">
        <v>1.4</v>
      </c>
      <c r="K47" s="9">
        <v>1</v>
      </c>
      <c r="L47" s="9">
        <v>0</v>
      </c>
      <c r="M47" s="9">
        <v>7</v>
      </c>
      <c r="N47" s="9">
        <v>0</v>
      </c>
      <c r="O47" s="13">
        <f t="shared" si="1"/>
        <v>-1.1187284707110781</v>
      </c>
      <c r="P47" s="13">
        <f t="shared" si="2"/>
        <v>0.24624721534132771</v>
      </c>
      <c r="Q47" s="13">
        <f t="shared" si="3"/>
        <v>0</v>
      </c>
      <c r="R47" s="13">
        <f t="shared" si="4"/>
        <v>0</v>
      </c>
      <c r="S47" s="13">
        <f t="shared" si="5"/>
        <v>0.75375278465867224</v>
      </c>
      <c r="T47" s="13">
        <f t="shared" si="6"/>
        <v>-0.28269083654136751</v>
      </c>
    </row>
    <row r="48" spans="1:20" x14ac:dyDescent="0.3">
      <c r="A48" s="9">
        <v>71</v>
      </c>
      <c r="B48" s="9">
        <v>0</v>
      </c>
      <c r="C48" s="9">
        <v>2</v>
      </c>
      <c r="D48" s="9">
        <v>160</v>
      </c>
      <c r="E48" s="9">
        <v>302</v>
      </c>
      <c r="F48" s="9">
        <v>0</v>
      </c>
      <c r="G48" s="9">
        <v>0</v>
      </c>
      <c r="H48" s="9">
        <v>162</v>
      </c>
      <c r="I48" s="9">
        <v>0</v>
      </c>
      <c r="J48" s="9">
        <v>0.4</v>
      </c>
      <c r="K48" s="9">
        <v>1</v>
      </c>
      <c r="L48" s="9">
        <v>2</v>
      </c>
      <c r="M48" s="9">
        <v>3</v>
      </c>
      <c r="N48" s="9">
        <v>0</v>
      </c>
      <c r="O48" s="13">
        <f t="shared" si="1"/>
        <v>-0.9832290389364946</v>
      </c>
      <c r="P48" s="13">
        <f t="shared" si="2"/>
        <v>0.27225154182537142</v>
      </c>
      <c r="Q48" s="13">
        <f t="shared" si="3"/>
        <v>0</v>
      </c>
      <c r="R48" s="13">
        <f t="shared" si="4"/>
        <v>0</v>
      </c>
      <c r="S48" s="13">
        <f t="shared" si="5"/>
        <v>0.72774845817462852</v>
      </c>
      <c r="T48" s="13">
        <f t="shared" si="6"/>
        <v>-0.31779981497819043</v>
      </c>
    </row>
    <row r="49" spans="1:20" x14ac:dyDescent="0.3">
      <c r="A49" s="9">
        <v>59</v>
      </c>
      <c r="B49" s="9">
        <v>1</v>
      </c>
      <c r="C49" s="9">
        <v>3</v>
      </c>
      <c r="D49" s="9">
        <v>150</v>
      </c>
      <c r="E49" s="9">
        <v>212</v>
      </c>
      <c r="F49" s="9">
        <v>1</v>
      </c>
      <c r="G49" s="9">
        <v>0</v>
      </c>
      <c r="H49" s="9">
        <v>157</v>
      </c>
      <c r="I49" s="9">
        <v>0</v>
      </c>
      <c r="J49" s="9">
        <v>1.6</v>
      </c>
      <c r="K49" s="9">
        <v>1</v>
      </c>
      <c r="L49" s="9">
        <v>0</v>
      </c>
      <c r="M49" s="9">
        <v>3</v>
      </c>
      <c r="N49" s="9">
        <v>0</v>
      </c>
      <c r="O49" s="13">
        <f t="shared" si="1"/>
        <v>-2.7709235139784507</v>
      </c>
      <c r="P49" s="13">
        <f t="shared" si="2"/>
        <v>5.8915788629579947E-2</v>
      </c>
      <c r="Q49" s="13">
        <f t="shared" si="3"/>
        <v>0</v>
      </c>
      <c r="R49" s="13">
        <f t="shared" si="4"/>
        <v>0</v>
      </c>
      <c r="S49" s="13">
        <f t="shared" si="5"/>
        <v>0.94108421137042009</v>
      </c>
      <c r="T49" s="13">
        <f t="shared" si="6"/>
        <v>-6.0722652040168877E-2</v>
      </c>
    </row>
    <row r="50" spans="1:20" x14ac:dyDescent="0.3">
      <c r="A50" s="9">
        <v>61</v>
      </c>
      <c r="B50" s="9">
        <v>0</v>
      </c>
      <c r="C50" s="9">
        <v>4</v>
      </c>
      <c r="D50" s="9">
        <v>130</v>
      </c>
      <c r="E50" s="9">
        <v>330</v>
      </c>
      <c r="F50" s="9">
        <v>0</v>
      </c>
      <c r="G50" s="9">
        <v>2</v>
      </c>
      <c r="H50" s="9">
        <v>169</v>
      </c>
      <c r="I50" s="9">
        <v>0</v>
      </c>
      <c r="J50" s="9">
        <v>0</v>
      </c>
      <c r="K50" s="9">
        <v>1</v>
      </c>
      <c r="L50" s="9">
        <v>0</v>
      </c>
      <c r="M50" s="9">
        <v>3</v>
      </c>
      <c r="N50" s="9">
        <v>1</v>
      </c>
      <c r="O50" s="13">
        <f t="shared" si="1"/>
        <v>-2.5594269715750553</v>
      </c>
      <c r="P50" s="13">
        <f t="shared" si="2"/>
        <v>7.179572013641522E-2</v>
      </c>
      <c r="Q50" s="13">
        <f t="shared" si="3"/>
        <v>0</v>
      </c>
      <c r="R50" s="13">
        <f t="shared" si="4"/>
        <v>1</v>
      </c>
      <c r="S50" s="13">
        <f t="shared" si="5"/>
        <v>7.179572013641522E-2</v>
      </c>
      <c r="T50" s="13">
        <f t="shared" si="6"/>
        <v>-2.6339304128325152</v>
      </c>
    </row>
    <row r="51" spans="1:20" x14ac:dyDescent="0.3">
      <c r="A51" s="9">
        <v>58</v>
      </c>
      <c r="B51" s="9">
        <v>1</v>
      </c>
      <c r="C51" s="9">
        <v>3</v>
      </c>
      <c r="D51" s="9">
        <v>112</v>
      </c>
      <c r="E51" s="9">
        <v>230</v>
      </c>
      <c r="F51" s="9">
        <v>0</v>
      </c>
      <c r="G51" s="9">
        <v>2</v>
      </c>
      <c r="H51" s="9">
        <v>165</v>
      </c>
      <c r="I51" s="9">
        <v>0</v>
      </c>
      <c r="J51" s="9">
        <v>2.5</v>
      </c>
      <c r="K51" s="9">
        <v>2</v>
      </c>
      <c r="L51" s="9">
        <v>1</v>
      </c>
      <c r="M51" s="9">
        <v>7</v>
      </c>
      <c r="N51" s="9">
        <v>1</v>
      </c>
      <c r="O51" s="13">
        <f t="shared" si="1"/>
        <v>1.2024383142377779</v>
      </c>
      <c r="P51" s="13">
        <f t="shared" si="2"/>
        <v>0.76895826201259787</v>
      </c>
      <c r="Q51" s="13">
        <f t="shared" si="3"/>
        <v>1</v>
      </c>
      <c r="R51" s="13">
        <f t="shared" si="4"/>
        <v>0</v>
      </c>
      <c r="S51" s="13">
        <f t="shared" si="5"/>
        <v>0.76895826201259787</v>
      </c>
      <c r="T51" s="13">
        <f t="shared" si="6"/>
        <v>-0.262718586615793</v>
      </c>
    </row>
    <row r="52" spans="1:20" x14ac:dyDescent="0.3">
      <c r="A52" s="9">
        <v>51</v>
      </c>
      <c r="B52" s="9">
        <v>1</v>
      </c>
      <c r="C52" s="9">
        <v>3</v>
      </c>
      <c r="D52" s="9">
        <v>110</v>
      </c>
      <c r="E52" s="9">
        <v>175</v>
      </c>
      <c r="F52" s="9">
        <v>0</v>
      </c>
      <c r="G52" s="9">
        <v>0</v>
      </c>
      <c r="H52" s="9">
        <v>123</v>
      </c>
      <c r="I52" s="9">
        <v>0</v>
      </c>
      <c r="J52" s="9">
        <v>0.6</v>
      </c>
      <c r="K52" s="9">
        <v>1</v>
      </c>
      <c r="L52" s="9">
        <v>0</v>
      </c>
      <c r="M52" s="9">
        <v>3</v>
      </c>
      <c r="N52" s="9">
        <v>0</v>
      </c>
      <c r="O52" s="13">
        <f t="shared" si="1"/>
        <v>-2.324925586199166</v>
      </c>
      <c r="P52" s="13">
        <f t="shared" si="2"/>
        <v>8.907956581390708E-2</v>
      </c>
      <c r="Q52" s="13">
        <f t="shared" si="3"/>
        <v>0</v>
      </c>
      <c r="R52" s="13">
        <f t="shared" si="4"/>
        <v>0</v>
      </c>
      <c r="S52" s="13">
        <f t="shared" si="5"/>
        <v>0.91092043418609292</v>
      </c>
      <c r="T52" s="13">
        <f t="shared" si="6"/>
        <v>-9.3299724519882415E-2</v>
      </c>
    </row>
    <row r="53" spans="1:20" x14ac:dyDescent="0.3">
      <c r="A53" s="9">
        <v>50</v>
      </c>
      <c r="B53" s="9">
        <v>1</v>
      </c>
      <c r="C53" s="9">
        <v>4</v>
      </c>
      <c r="D53" s="9">
        <v>150</v>
      </c>
      <c r="E53" s="9">
        <v>243</v>
      </c>
      <c r="F53" s="9">
        <v>0</v>
      </c>
      <c r="G53" s="9">
        <v>2</v>
      </c>
      <c r="H53" s="9">
        <v>128</v>
      </c>
      <c r="I53" s="9">
        <v>0</v>
      </c>
      <c r="J53" s="9">
        <v>2.6</v>
      </c>
      <c r="K53" s="9">
        <v>2</v>
      </c>
      <c r="L53" s="9">
        <v>0</v>
      </c>
      <c r="M53" s="9">
        <v>7</v>
      </c>
      <c r="N53" s="9">
        <v>1</v>
      </c>
      <c r="O53" s="13">
        <f t="shared" si="1"/>
        <v>2.3921413280431434</v>
      </c>
      <c r="P53" s="13">
        <f t="shared" si="2"/>
        <v>0.9162260741252003</v>
      </c>
      <c r="Q53" s="13">
        <f t="shared" si="3"/>
        <v>1</v>
      </c>
      <c r="R53" s="13">
        <f t="shared" si="4"/>
        <v>0</v>
      </c>
      <c r="S53" s="13">
        <f t="shared" si="5"/>
        <v>0.9162260741252003</v>
      </c>
      <c r="T53" s="13">
        <f t="shared" si="6"/>
        <v>-8.7492138946013834E-2</v>
      </c>
    </row>
    <row r="54" spans="1:20" x14ac:dyDescent="0.3">
      <c r="A54" s="9">
        <v>65</v>
      </c>
      <c r="B54" s="9">
        <v>0</v>
      </c>
      <c r="C54" s="9">
        <v>3</v>
      </c>
      <c r="D54" s="9">
        <v>140</v>
      </c>
      <c r="E54" s="9">
        <v>417</v>
      </c>
      <c r="F54" s="9">
        <v>1</v>
      </c>
      <c r="G54" s="9">
        <v>2</v>
      </c>
      <c r="H54" s="9">
        <v>157</v>
      </c>
      <c r="I54" s="9">
        <v>0</v>
      </c>
      <c r="J54" s="9">
        <v>0.8</v>
      </c>
      <c r="K54" s="9">
        <v>1</v>
      </c>
      <c r="L54" s="9">
        <v>1</v>
      </c>
      <c r="M54" s="9">
        <v>3</v>
      </c>
      <c r="N54" s="9">
        <v>0</v>
      </c>
      <c r="O54" s="13">
        <f t="shared" si="1"/>
        <v>-1.8257532279055138</v>
      </c>
      <c r="P54" s="13">
        <f t="shared" si="2"/>
        <v>0.13874496223719571</v>
      </c>
      <c r="Q54" s="13">
        <f t="shared" si="3"/>
        <v>0</v>
      </c>
      <c r="R54" s="13">
        <f t="shared" si="4"/>
        <v>0</v>
      </c>
      <c r="S54" s="13">
        <f t="shared" si="5"/>
        <v>0.86125503776280432</v>
      </c>
      <c r="T54" s="13">
        <f t="shared" si="6"/>
        <v>-0.1493646073096295</v>
      </c>
    </row>
    <row r="55" spans="1:20" x14ac:dyDescent="0.3">
      <c r="A55" s="9">
        <v>53</v>
      </c>
      <c r="B55" s="9">
        <v>1</v>
      </c>
      <c r="C55" s="9">
        <v>3</v>
      </c>
      <c r="D55" s="9">
        <v>130</v>
      </c>
      <c r="E55" s="9">
        <v>197</v>
      </c>
      <c r="F55" s="9">
        <v>1</v>
      </c>
      <c r="G55" s="9">
        <v>2</v>
      </c>
      <c r="H55" s="9">
        <v>152</v>
      </c>
      <c r="I55" s="9">
        <v>0</v>
      </c>
      <c r="J55" s="9">
        <v>1.2</v>
      </c>
      <c r="K55" s="9">
        <v>3</v>
      </c>
      <c r="L55" s="9">
        <v>0</v>
      </c>
      <c r="M55" s="9">
        <v>3</v>
      </c>
      <c r="N55" s="9">
        <v>0</v>
      </c>
      <c r="O55" s="13">
        <f t="shared" si="1"/>
        <v>-1.6066167118210526</v>
      </c>
      <c r="P55" s="13">
        <f t="shared" si="2"/>
        <v>0.16705886865183894</v>
      </c>
      <c r="Q55" s="13">
        <f t="shared" si="3"/>
        <v>0</v>
      </c>
      <c r="R55" s="13">
        <f t="shared" si="4"/>
        <v>0</v>
      </c>
      <c r="S55" s="13">
        <f t="shared" si="5"/>
        <v>0.83294113134816106</v>
      </c>
      <c r="T55" s="13">
        <f t="shared" si="6"/>
        <v>-0.18279230996304935</v>
      </c>
    </row>
    <row r="56" spans="1:20" x14ac:dyDescent="0.3">
      <c r="A56" s="9">
        <v>41</v>
      </c>
      <c r="B56" s="9">
        <v>0</v>
      </c>
      <c r="C56" s="9">
        <v>2</v>
      </c>
      <c r="D56" s="9">
        <v>105</v>
      </c>
      <c r="E56" s="9">
        <v>198</v>
      </c>
      <c r="F56" s="9">
        <v>0</v>
      </c>
      <c r="G56" s="9">
        <v>0</v>
      </c>
      <c r="H56" s="9">
        <v>168</v>
      </c>
      <c r="I56" s="9">
        <v>0</v>
      </c>
      <c r="J56" s="9">
        <v>0</v>
      </c>
      <c r="K56" s="9">
        <v>1</v>
      </c>
      <c r="L56" s="9">
        <v>1</v>
      </c>
      <c r="M56" s="9">
        <v>3</v>
      </c>
      <c r="N56" s="9">
        <v>0</v>
      </c>
      <c r="O56" s="13">
        <f t="shared" si="1"/>
        <v>-3.8877420489699595</v>
      </c>
      <c r="P56" s="13">
        <f t="shared" si="2"/>
        <v>2.0080090353791033E-2</v>
      </c>
      <c r="Q56" s="13">
        <f t="shared" si="3"/>
        <v>0</v>
      </c>
      <c r="R56" s="13">
        <f t="shared" si="4"/>
        <v>0</v>
      </c>
      <c r="S56" s="13">
        <f t="shared" si="5"/>
        <v>0.97991990964620901</v>
      </c>
      <c r="T56" s="13">
        <f t="shared" si="6"/>
        <v>-2.0284435507984158E-2</v>
      </c>
    </row>
    <row r="57" spans="1:20" x14ac:dyDescent="0.3">
      <c r="A57" s="9">
        <v>65</v>
      </c>
      <c r="B57" s="9">
        <v>1</v>
      </c>
      <c r="C57" s="9">
        <v>4</v>
      </c>
      <c r="D57" s="9">
        <v>120</v>
      </c>
      <c r="E57" s="9">
        <v>177</v>
      </c>
      <c r="F57" s="9">
        <v>0</v>
      </c>
      <c r="G57" s="9">
        <v>0</v>
      </c>
      <c r="H57" s="9">
        <v>140</v>
      </c>
      <c r="I57" s="9">
        <v>0</v>
      </c>
      <c r="J57" s="9">
        <v>0.4</v>
      </c>
      <c r="K57" s="9">
        <v>1</v>
      </c>
      <c r="L57" s="9">
        <v>0</v>
      </c>
      <c r="M57" s="9">
        <v>7</v>
      </c>
      <c r="N57" s="9">
        <v>0</v>
      </c>
      <c r="O57" s="13">
        <f t="shared" si="1"/>
        <v>-0.72308908710171416</v>
      </c>
      <c r="P57" s="13">
        <f t="shared" si="2"/>
        <v>0.32671310794080011</v>
      </c>
      <c r="Q57" s="13">
        <f t="shared" si="3"/>
        <v>0</v>
      </c>
      <c r="R57" s="13">
        <f t="shared" si="4"/>
        <v>0</v>
      </c>
      <c r="S57" s="13">
        <f t="shared" si="5"/>
        <v>0.67328689205919989</v>
      </c>
      <c r="T57" s="13">
        <f t="shared" si="6"/>
        <v>-0.39558375182299421</v>
      </c>
    </row>
    <row r="58" spans="1:20" x14ac:dyDescent="0.3">
      <c r="A58" s="9">
        <v>44</v>
      </c>
      <c r="B58" s="9">
        <v>1</v>
      </c>
      <c r="C58" s="9">
        <v>4</v>
      </c>
      <c r="D58" s="9">
        <v>112</v>
      </c>
      <c r="E58" s="9">
        <v>290</v>
      </c>
      <c r="F58" s="9">
        <v>0</v>
      </c>
      <c r="G58" s="9">
        <v>2</v>
      </c>
      <c r="H58" s="9">
        <v>153</v>
      </c>
      <c r="I58" s="9">
        <v>0</v>
      </c>
      <c r="J58" s="9">
        <v>0</v>
      </c>
      <c r="K58" s="9">
        <v>1</v>
      </c>
      <c r="L58" s="9">
        <v>1</v>
      </c>
      <c r="M58" s="9">
        <v>3</v>
      </c>
      <c r="N58" s="9">
        <v>1</v>
      </c>
      <c r="O58" s="13">
        <f t="shared" si="1"/>
        <v>-3.9896524251568977E-2</v>
      </c>
      <c r="P58" s="13">
        <f t="shared" si="2"/>
        <v>0.4900271917390569</v>
      </c>
      <c r="Q58" s="13">
        <f t="shared" si="3"/>
        <v>0</v>
      </c>
      <c r="R58" s="13">
        <f t="shared" si="4"/>
        <v>1</v>
      </c>
      <c r="S58" s="13">
        <f t="shared" si="5"/>
        <v>0.4900271917390569</v>
      </c>
      <c r="T58" s="13">
        <f t="shared" si="6"/>
        <v>-0.71329439607214939</v>
      </c>
    </row>
    <row r="59" spans="1:20" x14ac:dyDescent="0.3">
      <c r="A59" s="9">
        <v>44</v>
      </c>
      <c r="B59" s="9">
        <v>1</v>
      </c>
      <c r="C59" s="9">
        <v>2</v>
      </c>
      <c r="D59" s="9">
        <v>130</v>
      </c>
      <c r="E59" s="9">
        <v>219</v>
      </c>
      <c r="F59" s="9">
        <v>0</v>
      </c>
      <c r="G59" s="9">
        <v>2</v>
      </c>
      <c r="H59" s="9">
        <v>188</v>
      </c>
      <c r="I59" s="9">
        <v>0</v>
      </c>
      <c r="J59" s="9">
        <v>0</v>
      </c>
      <c r="K59" s="9">
        <v>1</v>
      </c>
      <c r="L59" s="9">
        <v>0</v>
      </c>
      <c r="M59" s="9">
        <v>3</v>
      </c>
      <c r="N59" s="9">
        <v>0</v>
      </c>
      <c r="O59" s="13">
        <f t="shared" si="1"/>
        <v>-3.1046926563139063</v>
      </c>
      <c r="P59" s="13">
        <f t="shared" si="2"/>
        <v>4.2914101951536686E-2</v>
      </c>
      <c r="Q59" s="13">
        <f t="shared" si="3"/>
        <v>0</v>
      </c>
      <c r="R59" s="13">
        <f t="shared" si="4"/>
        <v>0</v>
      </c>
      <c r="S59" s="13">
        <f t="shared" si="5"/>
        <v>0.95708589804846333</v>
      </c>
      <c r="T59" s="13">
        <f t="shared" si="6"/>
        <v>-4.3862133930759044E-2</v>
      </c>
    </row>
    <row r="60" spans="1:20" x14ac:dyDescent="0.3">
      <c r="A60" s="9">
        <v>60</v>
      </c>
      <c r="B60" s="9">
        <v>1</v>
      </c>
      <c r="C60" s="9">
        <v>4</v>
      </c>
      <c r="D60" s="9">
        <v>130</v>
      </c>
      <c r="E60" s="9">
        <v>253</v>
      </c>
      <c r="F60" s="9">
        <v>0</v>
      </c>
      <c r="G60" s="9">
        <v>0</v>
      </c>
      <c r="H60" s="9">
        <v>144</v>
      </c>
      <c r="I60" s="9">
        <v>1</v>
      </c>
      <c r="J60" s="9">
        <v>1.4</v>
      </c>
      <c r="K60" s="9">
        <v>1</v>
      </c>
      <c r="L60" s="9">
        <v>1</v>
      </c>
      <c r="M60" s="9">
        <v>7</v>
      </c>
      <c r="N60" s="9">
        <v>1</v>
      </c>
      <c r="O60" s="13">
        <f t="shared" si="1"/>
        <v>2.3247771665565153</v>
      </c>
      <c r="P60" s="13">
        <f t="shared" si="2"/>
        <v>0.91090839002918644</v>
      </c>
      <c r="Q60" s="13">
        <f t="shared" si="3"/>
        <v>1</v>
      </c>
      <c r="R60" s="13">
        <f t="shared" si="4"/>
        <v>0</v>
      </c>
      <c r="S60" s="13">
        <f t="shared" si="5"/>
        <v>0.91090839002918644</v>
      </c>
      <c r="T60" s="13">
        <f t="shared" si="6"/>
        <v>-9.3312946570984656E-2</v>
      </c>
    </row>
    <row r="61" spans="1:20" x14ac:dyDescent="0.3">
      <c r="A61" s="9">
        <v>54</v>
      </c>
      <c r="B61" s="9">
        <v>1</v>
      </c>
      <c r="C61" s="9">
        <v>4</v>
      </c>
      <c r="D61" s="9">
        <v>124</v>
      </c>
      <c r="E61" s="9">
        <v>266</v>
      </c>
      <c r="F61" s="9">
        <v>0</v>
      </c>
      <c r="G61" s="9">
        <v>2</v>
      </c>
      <c r="H61" s="9">
        <v>109</v>
      </c>
      <c r="I61" s="9">
        <v>1</v>
      </c>
      <c r="J61" s="9">
        <v>2.2000000000000002</v>
      </c>
      <c r="K61" s="9">
        <v>2</v>
      </c>
      <c r="L61" s="9">
        <v>1</v>
      </c>
      <c r="M61" s="9">
        <v>7</v>
      </c>
      <c r="N61" s="9">
        <v>1</v>
      </c>
      <c r="O61" s="13">
        <f t="shared" si="1"/>
        <v>4.3130596340210356</v>
      </c>
      <c r="P61" s="13">
        <f t="shared" si="2"/>
        <v>0.98678447835163841</v>
      </c>
      <c r="Q61" s="13">
        <f t="shared" si="3"/>
        <v>1</v>
      </c>
      <c r="R61" s="13">
        <f t="shared" si="4"/>
        <v>0</v>
      </c>
      <c r="S61" s="13">
        <f t="shared" si="5"/>
        <v>0.98678447835163841</v>
      </c>
      <c r="T61" s="13">
        <f t="shared" si="6"/>
        <v>-1.3303623725430565E-2</v>
      </c>
    </row>
    <row r="62" spans="1:20" x14ac:dyDescent="0.3">
      <c r="A62" s="9">
        <v>50</v>
      </c>
      <c r="B62" s="9">
        <v>1</v>
      </c>
      <c r="C62" s="9">
        <v>3</v>
      </c>
      <c r="D62" s="9">
        <v>140</v>
      </c>
      <c r="E62" s="9">
        <v>233</v>
      </c>
      <c r="F62" s="9">
        <v>0</v>
      </c>
      <c r="G62" s="9">
        <v>0</v>
      </c>
      <c r="H62" s="9">
        <v>163</v>
      </c>
      <c r="I62" s="9">
        <v>0</v>
      </c>
      <c r="J62" s="9">
        <v>0.6</v>
      </c>
      <c r="K62" s="9">
        <v>2</v>
      </c>
      <c r="L62" s="9">
        <v>1</v>
      </c>
      <c r="M62" s="9">
        <v>7</v>
      </c>
      <c r="N62" s="9">
        <v>1</v>
      </c>
      <c r="O62" s="13">
        <f t="shared" si="1"/>
        <v>1.0841945245810365</v>
      </c>
      <c r="P62" s="13">
        <f t="shared" si="2"/>
        <v>0.74728693715596684</v>
      </c>
      <c r="Q62" s="13">
        <f t="shared" si="3"/>
        <v>1</v>
      </c>
      <c r="R62" s="13">
        <f t="shared" si="4"/>
        <v>0</v>
      </c>
      <c r="S62" s="13">
        <f t="shared" si="5"/>
        <v>0.74728693715596684</v>
      </c>
      <c r="T62" s="13">
        <f t="shared" si="6"/>
        <v>-0.29130604825224093</v>
      </c>
    </row>
    <row r="63" spans="1:20" x14ac:dyDescent="0.3">
      <c r="A63" s="9">
        <v>41</v>
      </c>
      <c r="B63" s="9">
        <v>1</v>
      </c>
      <c r="C63" s="9">
        <v>4</v>
      </c>
      <c r="D63" s="9">
        <v>110</v>
      </c>
      <c r="E63" s="9">
        <v>172</v>
      </c>
      <c r="F63" s="9">
        <v>0</v>
      </c>
      <c r="G63" s="9">
        <v>2</v>
      </c>
      <c r="H63" s="9">
        <v>158</v>
      </c>
      <c r="I63" s="9">
        <v>0</v>
      </c>
      <c r="J63" s="9">
        <v>0</v>
      </c>
      <c r="K63" s="9">
        <v>1</v>
      </c>
      <c r="L63" s="9">
        <v>0</v>
      </c>
      <c r="M63" s="9">
        <v>7</v>
      </c>
      <c r="N63" s="9">
        <v>1</v>
      </c>
      <c r="O63" s="13">
        <f t="shared" si="1"/>
        <v>-0.62858449989402132</v>
      </c>
      <c r="P63" s="13">
        <f t="shared" si="2"/>
        <v>0.34783156739898069</v>
      </c>
      <c r="Q63" s="13">
        <f t="shared" si="3"/>
        <v>0</v>
      </c>
      <c r="R63" s="13">
        <f t="shared" si="4"/>
        <v>1</v>
      </c>
      <c r="S63" s="13">
        <f t="shared" si="5"/>
        <v>0.34783156739898069</v>
      </c>
      <c r="T63" s="13">
        <f t="shared" si="6"/>
        <v>-1.0560369181013731</v>
      </c>
    </row>
    <row r="64" spans="1:20" x14ac:dyDescent="0.3">
      <c r="A64" s="9">
        <v>54</v>
      </c>
      <c r="B64" s="9">
        <v>1</v>
      </c>
      <c r="C64" s="9">
        <v>3</v>
      </c>
      <c r="D64" s="9">
        <v>125</v>
      </c>
      <c r="E64" s="9">
        <v>273</v>
      </c>
      <c r="F64" s="9">
        <v>0</v>
      </c>
      <c r="G64" s="9">
        <v>2</v>
      </c>
      <c r="H64" s="9">
        <v>152</v>
      </c>
      <c r="I64" s="9">
        <v>0</v>
      </c>
      <c r="J64" s="9">
        <v>0.5</v>
      </c>
      <c r="K64" s="9">
        <v>3</v>
      </c>
      <c r="L64" s="9">
        <v>1</v>
      </c>
      <c r="M64" s="9">
        <v>3</v>
      </c>
      <c r="N64" s="9">
        <v>0</v>
      </c>
      <c r="O64" s="13">
        <f t="shared" si="1"/>
        <v>0.75370267348947806</v>
      </c>
      <c r="P64" s="13">
        <f t="shared" si="2"/>
        <v>0.67998495736703757</v>
      </c>
      <c r="Q64" s="13">
        <f t="shared" si="3"/>
        <v>1</v>
      </c>
      <c r="R64" s="13">
        <f t="shared" si="4"/>
        <v>1</v>
      </c>
      <c r="S64" s="13">
        <f t="shared" si="5"/>
        <v>0.32001504263296243</v>
      </c>
      <c r="T64" s="13">
        <f t="shared" si="6"/>
        <v>-1.1393872760652093</v>
      </c>
    </row>
    <row r="65" spans="1:20" x14ac:dyDescent="0.3">
      <c r="A65" s="9">
        <v>51</v>
      </c>
      <c r="B65" s="9">
        <v>1</v>
      </c>
      <c r="C65" s="9">
        <v>1</v>
      </c>
      <c r="D65" s="9">
        <v>125</v>
      </c>
      <c r="E65" s="9">
        <v>213</v>
      </c>
      <c r="F65" s="9">
        <v>0</v>
      </c>
      <c r="G65" s="9">
        <v>2</v>
      </c>
      <c r="H65" s="9">
        <v>125</v>
      </c>
      <c r="I65" s="9">
        <v>1</v>
      </c>
      <c r="J65" s="9">
        <v>1.4</v>
      </c>
      <c r="K65" s="9">
        <v>1</v>
      </c>
      <c r="L65" s="9">
        <v>1</v>
      </c>
      <c r="M65" s="9">
        <v>3</v>
      </c>
      <c r="N65" s="9">
        <v>0</v>
      </c>
      <c r="O65" s="13">
        <f t="shared" si="1"/>
        <v>-8.6174558312023919E-2</v>
      </c>
      <c r="P65" s="13">
        <f t="shared" si="2"/>
        <v>0.47846968254913402</v>
      </c>
      <c r="Q65" s="13">
        <f t="shared" si="3"/>
        <v>0</v>
      </c>
      <c r="R65" s="13">
        <f t="shared" si="4"/>
        <v>0</v>
      </c>
      <c r="S65" s="13">
        <f t="shared" si="5"/>
        <v>0.52153031745086598</v>
      </c>
      <c r="T65" s="13">
        <f t="shared" si="6"/>
        <v>-0.650987871138345</v>
      </c>
    </row>
    <row r="66" spans="1:20" x14ac:dyDescent="0.3">
      <c r="A66" s="9">
        <v>51</v>
      </c>
      <c r="B66" s="9">
        <v>0</v>
      </c>
      <c r="C66" s="9">
        <v>4</v>
      </c>
      <c r="D66" s="9">
        <v>130</v>
      </c>
      <c r="E66" s="9">
        <v>305</v>
      </c>
      <c r="F66" s="9">
        <v>0</v>
      </c>
      <c r="G66" s="9">
        <v>0</v>
      </c>
      <c r="H66" s="9">
        <v>142</v>
      </c>
      <c r="I66" s="9">
        <v>1</v>
      </c>
      <c r="J66" s="9">
        <v>1.2</v>
      </c>
      <c r="K66" s="9">
        <v>2</v>
      </c>
      <c r="L66" s="9">
        <v>0</v>
      </c>
      <c r="M66" s="9">
        <v>7</v>
      </c>
      <c r="N66" s="9">
        <v>1</v>
      </c>
      <c r="O66" s="13">
        <f t="shared" si="1"/>
        <v>0.69421248004355007</v>
      </c>
      <c r="P66" s="13">
        <f t="shared" si="2"/>
        <v>0.66690335783836396</v>
      </c>
      <c r="Q66" s="13">
        <f t="shared" si="3"/>
        <v>1</v>
      </c>
      <c r="R66" s="13">
        <f t="shared" si="4"/>
        <v>0</v>
      </c>
      <c r="S66" s="13">
        <f t="shared" si="5"/>
        <v>0.66690335783836396</v>
      </c>
      <c r="T66" s="13">
        <f t="shared" si="6"/>
        <v>-0.40511013436125443</v>
      </c>
    </row>
    <row r="67" spans="1:20" x14ac:dyDescent="0.3">
      <c r="A67" s="9">
        <v>46</v>
      </c>
      <c r="B67" s="9">
        <v>0</v>
      </c>
      <c r="C67" s="9">
        <v>3</v>
      </c>
      <c r="D67" s="9">
        <v>142</v>
      </c>
      <c r="E67" s="9">
        <v>177</v>
      </c>
      <c r="F67" s="9">
        <v>0</v>
      </c>
      <c r="G67" s="9">
        <v>2</v>
      </c>
      <c r="H67" s="9">
        <v>160</v>
      </c>
      <c r="I67" s="9">
        <v>1</v>
      </c>
      <c r="J67" s="9">
        <v>1.4</v>
      </c>
      <c r="K67" s="9">
        <v>3</v>
      </c>
      <c r="L67" s="9">
        <v>0</v>
      </c>
      <c r="M67" s="9">
        <v>3</v>
      </c>
      <c r="N67" s="9">
        <v>0</v>
      </c>
      <c r="O67" s="13">
        <f t="shared" si="1"/>
        <v>-0.79887357743118947</v>
      </c>
      <c r="P67" s="13">
        <f t="shared" si="2"/>
        <v>0.3102665231296256</v>
      </c>
      <c r="Q67" s="13">
        <f t="shared" si="3"/>
        <v>0</v>
      </c>
      <c r="R67" s="13">
        <f t="shared" si="4"/>
        <v>0</v>
      </c>
      <c r="S67" s="13">
        <f t="shared" si="5"/>
        <v>0.68973347687037445</v>
      </c>
      <c r="T67" s="13">
        <f t="shared" si="6"/>
        <v>-0.37145002141578404</v>
      </c>
    </row>
    <row r="68" spans="1:20" x14ac:dyDescent="0.3">
      <c r="A68" s="9">
        <v>58</v>
      </c>
      <c r="B68" s="9">
        <v>1</v>
      </c>
      <c r="C68" s="9">
        <v>4</v>
      </c>
      <c r="D68" s="9">
        <v>128</v>
      </c>
      <c r="E68" s="9">
        <v>216</v>
      </c>
      <c r="F68" s="9">
        <v>0</v>
      </c>
      <c r="G68" s="9">
        <v>2</v>
      </c>
      <c r="H68" s="9">
        <v>131</v>
      </c>
      <c r="I68" s="9">
        <v>1</v>
      </c>
      <c r="J68" s="9">
        <v>2.2000000000000002</v>
      </c>
      <c r="K68" s="9">
        <v>2</v>
      </c>
      <c r="L68" s="9">
        <v>3</v>
      </c>
      <c r="M68" s="9">
        <v>7</v>
      </c>
      <c r="N68" s="9">
        <v>1</v>
      </c>
      <c r="O68" s="13">
        <f t="shared" si="1"/>
        <v>6.1830959174144073</v>
      </c>
      <c r="P68" s="13">
        <f t="shared" si="2"/>
        <v>0.99794022354308243</v>
      </c>
      <c r="Q68" s="13">
        <f t="shared" si="3"/>
        <v>1</v>
      </c>
      <c r="R68" s="13">
        <f t="shared" si="4"/>
        <v>0</v>
      </c>
      <c r="S68" s="13">
        <f t="shared" si="5"/>
        <v>0.99794022354308243</v>
      </c>
      <c r="T68" s="13">
        <f t="shared" si="6"/>
        <v>-2.06190071394146E-3</v>
      </c>
    </row>
    <row r="69" spans="1:20" x14ac:dyDescent="0.3">
      <c r="A69" s="9">
        <v>54</v>
      </c>
      <c r="B69" s="9">
        <v>0</v>
      </c>
      <c r="C69" s="9">
        <v>3</v>
      </c>
      <c r="D69" s="9">
        <v>135</v>
      </c>
      <c r="E69" s="9">
        <v>304</v>
      </c>
      <c r="F69" s="9">
        <v>1</v>
      </c>
      <c r="G69" s="9">
        <v>0</v>
      </c>
      <c r="H69" s="9">
        <v>170</v>
      </c>
      <c r="I69" s="9">
        <v>0</v>
      </c>
      <c r="J69" s="9">
        <v>0</v>
      </c>
      <c r="K69" s="9">
        <v>1</v>
      </c>
      <c r="L69" s="9">
        <v>0</v>
      </c>
      <c r="M69" s="9">
        <v>3</v>
      </c>
      <c r="N69" s="9">
        <v>0</v>
      </c>
      <c r="O69" s="13">
        <f t="shared" si="1"/>
        <v>-4.5780670671981856</v>
      </c>
      <c r="P69" s="13">
        <f t="shared" si="2"/>
        <v>1.0170240935666033E-2</v>
      </c>
      <c r="Q69" s="13">
        <f t="shared" si="3"/>
        <v>0</v>
      </c>
      <c r="R69" s="13">
        <f t="shared" si="4"/>
        <v>0</v>
      </c>
      <c r="S69" s="13">
        <f t="shared" si="5"/>
        <v>0.98982975906433401</v>
      </c>
      <c r="T69" s="13">
        <f t="shared" si="6"/>
        <v>-1.022231118148724E-2</v>
      </c>
    </row>
    <row r="70" spans="1:20" x14ac:dyDescent="0.3">
      <c r="A70" s="9">
        <v>54</v>
      </c>
      <c r="B70" s="9">
        <v>1</v>
      </c>
      <c r="C70" s="9">
        <v>4</v>
      </c>
      <c r="D70" s="9">
        <v>120</v>
      </c>
      <c r="E70" s="9">
        <v>188</v>
      </c>
      <c r="F70" s="9">
        <v>0</v>
      </c>
      <c r="G70" s="9">
        <v>0</v>
      </c>
      <c r="H70" s="9">
        <v>113</v>
      </c>
      <c r="I70" s="9">
        <v>0</v>
      </c>
      <c r="J70" s="9">
        <v>1.4</v>
      </c>
      <c r="K70" s="9">
        <v>2</v>
      </c>
      <c r="L70" s="9">
        <v>1</v>
      </c>
      <c r="M70" s="9">
        <v>7</v>
      </c>
      <c r="N70" s="9">
        <v>1</v>
      </c>
      <c r="O70" s="13">
        <f t="shared" si="1"/>
        <v>2.1311942976631624</v>
      </c>
      <c r="P70" s="13">
        <f t="shared" si="2"/>
        <v>0.89389833371344429</v>
      </c>
      <c r="Q70" s="13">
        <f t="shared" si="3"/>
        <v>1</v>
      </c>
      <c r="R70" s="13">
        <f t="shared" si="4"/>
        <v>0</v>
      </c>
      <c r="S70" s="13">
        <f t="shared" si="5"/>
        <v>0.89389833371344429</v>
      </c>
      <c r="T70" s="13">
        <f t="shared" si="6"/>
        <v>-0.11216323095378349</v>
      </c>
    </row>
    <row r="71" spans="1:20" x14ac:dyDescent="0.3">
      <c r="A71" s="9">
        <v>60</v>
      </c>
      <c r="B71" s="9">
        <v>1</v>
      </c>
      <c r="C71" s="9">
        <v>4</v>
      </c>
      <c r="D71" s="9">
        <v>145</v>
      </c>
      <c r="E71" s="9">
        <v>282</v>
      </c>
      <c r="F71" s="9">
        <v>0</v>
      </c>
      <c r="G71" s="9">
        <v>2</v>
      </c>
      <c r="H71" s="9">
        <v>142</v>
      </c>
      <c r="I71" s="9">
        <v>1</v>
      </c>
      <c r="J71" s="9">
        <v>2.8</v>
      </c>
      <c r="K71" s="9">
        <v>2</v>
      </c>
      <c r="L71" s="9">
        <v>2</v>
      </c>
      <c r="M71" s="9">
        <v>7</v>
      </c>
      <c r="N71" s="9">
        <v>1</v>
      </c>
      <c r="O71" s="13">
        <f t="shared" ref="O71:O134" si="7">SUMPRODUCT(A$4:M$4, A71:M71)+N$4</f>
        <v>5.5451862518955828</v>
      </c>
      <c r="P71" s="13">
        <f t="shared" ref="P71:P134" si="8">1/(1+EXP(0-O71))</f>
        <v>0.99610898355294786</v>
      </c>
      <c r="Q71" s="13">
        <f t="shared" ref="Q71:Q134" si="9">IF(P71&lt;=0.5, 0, 1)</f>
        <v>1</v>
      </c>
      <c r="R71" s="13">
        <f t="shared" ref="R71:R134" si="10">IF(N71=Q71, 0, 1)</f>
        <v>0</v>
      </c>
      <c r="S71" s="13">
        <f t="shared" ref="S71:S134" si="11">IF(N71=1, P71, 1-P71)</f>
        <v>0.99610898355294786</v>
      </c>
      <c r="T71" s="13">
        <f t="shared" ref="T71:T134" si="12">IF(S71=0, -100000, LN(S71))</f>
        <v>-3.89860614570635E-3</v>
      </c>
    </row>
    <row r="72" spans="1:20" x14ac:dyDescent="0.3">
      <c r="A72" s="9">
        <v>60</v>
      </c>
      <c r="B72" s="9">
        <v>1</v>
      </c>
      <c r="C72" s="9">
        <v>3</v>
      </c>
      <c r="D72" s="9">
        <v>140</v>
      </c>
      <c r="E72" s="9">
        <v>185</v>
      </c>
      <c r="F72" s="9">
        <v>0</v>
      </c>
      <c r="G72" s="9">
        <v>2</v>
      </c>
      <c r="H72" s="9">
        <v>155</v>
      </c>
      <c r="I72" s="9">
        <v>0</v>
      </c>
      <c r="J72" s="9">
        <v>3</v>
      </c>
      <c r="K72" s="9">
        <v>2</v>
      </c>
      <c r="L72" s="9">
        <v>0</v>
      </c>
      <c r="M72" s="9">
        <v>3</v>
      </c>
      <c r="N72" s="9">
        <v>1</v>
      </c>
      <c r="O72" s="13">
        <f t="shared" si="7"/>
        <v>-0.69040263895854714</v>
      </c>
      <c r="P72" s="13">
        <f t="shared" si="8"/>
        <v>0.33394351019325996</v>
      </c>
      <c r="Q72" s="13">
        <f t="shared" si="9"/>
        <v>0</v>
      </c>
      <c r="R72" s="13">
        <f t="shared" si="10"/>
        <v>1</v>
      </c>
      <c r="S72" s="13">
        <f t="shared" si="11"/>
        <v>0.33394351019325996</v>
      </c>
      <c r="T72" s="13">
        <f t="shared" si="12"/>
        <v>-1.0967834314676281</v>
      </c>
    </row>
    <row r="73" spans="1:20" x14ac:dyDescent="0.3">
      <c r="A73" s="9">
        <v>54</v>
      </c>
      <c r="B73" s="9">
        <v>1</v>
      </c>
      <c r="C73" s="9">
        <v>3</v>
      </c>
      <c r="D73" s="9">
        <v>150</v>
      </c>
      <c r="E73" s="9">
        <v>232</v>
      </c>
      <c r="F73" s="9">
        <v>0</v>
      </c>
      <c r="G73" s="9">
        <v>2</v>
      </c>
      <c r="H73" s="9">
        <v>165</v>
      </c>
      <c r="I73" s="9">
        <v>0</v>
      </c>
      <c r="J73" s="9">
        <v>1.6</v>
      </c>
      <c r="K73" s="9">
        <v>1</v>
      </c>
      <c r="L73" s="9">
        <v>0</v>
      </c>
      <c r="M73" s="9">
        <v>7</v>
      </c>
      <c r="N73" s="9">
        <v>0</v>
      </c>
      <c r="O73" s="13">
        <f t="shared" si="7"/>
        <v>0.12209093275572869</v>
      </c>
      <c r="P73" s="13">
        <f t="shared" si="8"/>
        <v>0.53048487480045858</v>
      </c>
      <c r="Q73" s="13">
        <f t="shared" si="9"/>
        <v>1</v>
      </c>
      <c r="R73" s="13">
        <f t="shared" si="10"/>
        <v>1</v>
      </c>
      <c r="S73" s="13">
        <f t="shared" si="11"/>
        <v>0.46951512519954142</v>
      </c>
      <c r="T73" s="13">
        <f t="shared" si="12"/>
        <v>-0.75605476530524995</v>
      </c>
    </row>
    <row r="74" spans="1:20" x14ac:dyDescent="0.3">
      <c r="A74" s="9">
        <v>59</v>
      </c>
      <c r="B74" s="9">
        <v>1</v>
      </c>
      <c r="C74" s="9">
        <v>4</v>
      </c>
      <c r="D74" s="9">
        <v>170</v>
      </c>
      <c r="E74" s="9">
        <v>326</v>
      </c>
      <c r="F74" s="9">
        <v>0</v>
      </c>
      <c r="G74" s="9">
        <v>2</v>
      </c>
      <c r="H74" s="9">
        <v>140</v>
      </c>
      <c r="I74" s="9">
        <v>1</v>
      </c>
      <c r="J74" s="9">
        <v>3.4</v>
      </c>
      <c r="K74" s="9">
        <v>3</v>
      </c>
      <c r="L74" s="9">
        <v>0</v>
      </c>
      <c r="M74" s="9">
        <v>7</v>
      </c>
      <c r="N74" s="9">
        <v>1</v>
      </c>
      <c r="O74" s="13">
        <f t="shared" si="7"/>
        <v>4.6034518106433477</v>
      </c>
      <c r="P74" s="13">
        <f t="shared" si="8"/>
        <v>0.99008215054100457</v>
      </c>
      <c r="Q74" s="13">
        <f t="shared" si="9"/>
        <v>1</v>
      </c>
      <c r="R74" s="13">
        <f t="shared" si="10"/>
        <v>0</v>
      </c>
      <c r="S74" s="13">
        <f t="shared" si="11"/>
        <v>0.99008215054100457</v>
      </c>
      <c r="T74" s="13">
        <f t="shared" si="12"/>
        <v>-9.9673589517307159E-3</v>
      </c>
    </row>
    <row r="75" spans="1:20" x14ac:dyDescent="0.3">
      <c r="A75" s="9">
        <v>46</v>
      </c>
      <c r="B75" s="9">
        <v>1</v>
      </c>
      <c r="C75" s="9">
        <v>3</v>
      </c>
      <c r="D75" s="9">
        <v>150</v>
      </c>
      <c r="E75" s="9">
        <v>231</v>
      </c>
      <c r="F75" s="9">
        <v>0</v>
      </c>
      <c r="G75" s="9">
        <v>0</v>
      </c>
      <c r="H75" s="9">
        <v>147</v>
      </c>
      <c r="I75" s="9">
        <v>0</v>
      </c>
      <c r="J75" s="9">
        <v>3.6</v>
      </c>
      <c r="K75" s="9">
        <v>2</v>
      </c>
      <c r="L75" s="9">
        <v>0</v>
      </c>
      <c r="M75" s="9">
        <v>3</v>
      </c>
      <c r="N75" s="9">
        <v>1</v>
      </c>
      <c r="O75" s="13">
        <f t="shared" si="7"/>
        <v>-0.19891679098743076</v>
      </c>
      <c r="P75" s="13">
        <f t="shared" si="8"/>
        <v>0.4504341293172725</v>
      </c>
      <c r="Q75" s="13">
        <f t="shared" si="9"/>
        <v>0</v>
      </c>
      <c r="R75" s="13">
        <f t="shared" si="10"/>
        <v>1</v>
      </c>
      <c r="S75" s="13">
        <f t="shared" si="11"/>
        <v>0.4504341293172725</v>
      </c>
      <c r="T75" s="13">
        <f t="shared" si="12"/>
        <v>-0.7975434294562711</v>
      </c>
    </row>
    <row r="76" spans="1:20" x14ac:dyDescent="0.3">
      <c r="A76" s="9">
        <v>65</v>
      </c>
      <c r="B76" s="9">
        <v>0</v>
      </c>
      <c r="C76" s="9">
        <v>3</v>
      </c>
      <c r="D76" s="9">
        <v>155</v>
      </c>
      <c r="E76" s="9">
        <v>269</v>
      </c>
      <c r="F76" s="9">
        <v>0</v>
      </c>
      <c r="G76" s="9">
        <v>0</v>
      </c>
      <c r="H76" s="9">
        <v>148</v>
      </c>
      <c r="I76" s="9">
        <v>0</v>
      </c>
      <c r="J76" s="9">
        <v>0.8</v>
      </c>
      <c r="K76" s="9">
        <v>1</v>
      </c>
      <c r="L76" s="9">
        <v>0</v>
      </c>
      <c r="M76" s="9">
        <v>3</v>
      </c>
      <c r="N76" s="9">
        <v>0</v>
      </c>
      <c r="O76" s="13">
        <f t="shared" si="7"/>
        <v>-2.7534115068408553</v>
      </c>
      <c r="P76" s="13">
        <f t="shared" si="8"/>
        <v>5.9894269983557256E-2</v>
      </c>
      <c r="Q76" s="13">
        <f t="shared" si="9"/>
        <v>0</v>
      </c>
      <c r="R76" s="13">
        <f t="shared" si="10"/>
        <v>0</v>
      </c>
      <c r="S76" s="13">
        <f t="shared" si="11"/>
        <v>0.94010573001644271</v>
      </c>
      <c r="T76" s="13">
        <f t="shared" si="12"/>
        <v>-6.1762931302450252E-2</v>
      </c>
    </row>
    <row r="77" spans="1:20" x14ac:dyDescent="0.3">
      <c r="A77" s="9">
        <v>67</v>
      </c>
      <c r="B77" s="9">
        <v>1</v>
      </c>
      <c r="C77" s="9">
        <v>4</v>
      </c>
      <c r="D77" s="9">
        <v>125</v>
      </c>
      <c r="E77" s="9">
        <v>254</v>
      </c>
      <c r="F77" s="9">
        <v>1</v>
      </c>
      <c r="G77" s="9">
        <v>0</v>
      </c>
      <c r="H77" s="9">
        <v>163</v>
      </c>
      <c r="I77" s="9">
        <v>0</v>
      </c>
      <c r="J77" s="9">
        <v>0.2</v>
      </c>
      <c r="K77" s="9">
        <v>2</v>
      </c>
      <c r="L77" s="9">
        <v>2</v>
      </c>
      <c r="M77" s="9">
        <v>7</v>
      </c>
      <c r="N77" s="9">
        <v>1</v>
      </c>
      <c r="O77" s="13">
        <f t="shared" si="7"/>
        <v>1.3101809607116888</v>
      </c>
      <c r="P77" s="13">
        <f t="shared" si="8"/>
        <v>0.78754343557713291</v>
      </c>
      <c r="Q77" s="13">
        <f t="shared" si="9"/>
        <v>1</v>
      </c>
      <c r="R77" s="13">
        <f t="shared" si="10"/>
        <v>0</v>
      </c>
      <c r="S77" s="13">
        <f t="shared" si="11"/>
        <v>0.78754343557713291</v>
      </c>
      <c r="T77" s="13">
        <f t="shared" si="12"/>
        <v>-0.23883675351497832</v>
      </c>
    </row>
    <row r="78" spans="1:20" x14ac:dyDescent="0.3">
      <c r="A78" s="9">
        <v>62</v>
      </c>
      <c r="B78" s="9">
        <v>1</v>
      </c>
      <c r="C78" s="9">
        <v>4</v>
      </c>
      <c r="D78" s="9">
        <v>120</v>
      </c>
      <c r="E78" s="9">
        <v>267</v>
      </c>
      <c r="F78" s="9">
        <v>0</v>
      </c>
      <c r="G78" s="9">
        <v>0</v>
      </c>
      <c r="H78" s="9">
        <v>99</v>
      </c>
      <c r="I78" s="9">
        <v>1</v>
      </c>
      <c r="J78" s="9">
        <v>1.8</v>
      </c>
      <c r="K78" s="9">
        <v>2</v>
      </c>
      <c r="L78" s="9">
        <v>2</v>
      </c>
      <c r="M78" s="9">
        <v>7</v>
      </c>
      <c r="N78" s="9">
        <v>1</v>
      </c>
      <c r="O78" s="13">
        <f t="shared" si="7"/>
        <v>4.9934277318233757</v>
      </c>
      <c r="P78" s="13">
        <f t="shared" si="8"/>
        <v>0.99326331430343695</v>
      </c>
      <c r="Q78" s="13">
        <f t="shared" si="9"/>
        <v>1</v>
      </c>
      <c r="R78" s="13">
        <f t="shared" si="10"/>
        <v>0</v>
      </c>
      <c r="S78" s="13">
        <f t="shared" si="11"/>
        <v>0.99326331430343695</v>
      </c>
      <c r="T78" s="13">
        <f t="shared" si="12"/>
        <v>-6.7594795915313652E-3</v>
      </c>
    </row>
    <row r="79" spans="1:20" x14ac:dyDescent="0.3">
      <c r="A79" s="9">
        <v>65</v>
      </c>
      <c r="B79" s="9">
        <v>1</v>
      </c>
      <c r="C79" s="9">
        <v>4</v>
      </c>
      <c r="D79" s="9">
        <v>110</v>
      </c>
      <c r="E79" s="9">
        <v>248</v>
      </c>
      <c r="F79" s="9">
        <v>0</v>
      </c>
      <c r="G79" s="9">
        <v>2</v>
      </c>
      <c r="H79" s="9">
        <v>158</v>
      </c>
      <c r="I79" s="9">
        <v>0</v>
      </c>
      <c r="J79" s="9">
        <v>0.6</v>
      </c>
      <c r="K79" s="9">
        <v>1</v>
      </c>
      <c r="L79" s="9">
        <v>2</v>
      </c>
      <c r="M79" s="9">
        <v>6</v>
      </c>
      <c r="N79" s="9">
        <v>1</v>
      </c>
      <c r="O79" s="13">
        <f t="shared" si="7"/>
        <v>1.7492803889032906</v>
      </c>
      <c r="P79" s="13">
        <f t="shared" si="8"/>
        <v>0.85186201498862424</v>
      </c>
      <c r="Q79" s="13">
        <f t="shared" si="9"/>
        <v>1</v>
      </c>
      <c r="R79" s="13">
        <f t="shared" si="10"/>
        <v>0</v>
      </c>
      <c r="S79" s="13">
        <f t="shared" si="11"/>
        <v>0.85186201498862424</v>
      </c>
      <c r="T79" s="13">
        <f t="shared" si="12"/>
        <v>-0.16033071950752914</v>
      </c>
    </row>
    <row r="80" spans="1:20" x14ac:dyDescent="0.3">
      <c r="A80" s="9">
        <v>44</v>
      </c>
      <c r="B80" s="9">
        <v>1</v>
      </c>
      <c r="C80" s="9">
        <v>4</v>
      </c>
      <c r="D80" s="9">
        <v>110</v>
      </c>
      <c r="E80" s="9">
        <v>197</v>
      </c>
      <c r="F80" s="9">
        <v>0</v>
      </c>
      <c r="G80" s="9">
        <v>2</v>
      </c>
      <c r="H80" s="9">
        <v>177</v>
      </c>
      <c r="I80" s="9">
        <v>0</v>
      </c>
      <c r="J80" s="9">
        <v>0</v>
      </c>
      <c r="K80" s="9">
        <v>1</v>
      </c>
      <c r="L80" s="9">
        <v>1</v>
      </c>
      <c r="M80" s="9">
        <v>3</v>
      </c>
      <c r="N80" s="9">
        <v>1</v>
      </c>
      <c r="O80" s="13">
        <f t="shared" si="7"/>
        <v>-1.0480824457722324</v>
      </c>
      <c r="P80" s="13">
        <f t="shared" si="8"/>
        <v>0.25959349383623842</v>
      </c>
      <c r="Q80" s="13">
        <f t="shared" si="9"/>
        <v>0</v>
      </c>
      <c r="R80" s="13">
        <f t="shared" si="10"/>
        <v>1</v>
      </c>
      <c r="S80" s="13">
        <f t="shared" si="11"/>
        <v>0.25959349383623842</v>
      </c>
      <c r="T80" s="13">
        <f t="shared" si="12"/>
        <v>-1.3486383567303706</v>
      </c>
    </row>
    <row r="81" spans="1:20" x14ac:dyDescent="0.3">
      <c r="A81" s="9">
        <v>65</v>
      </c>
      <c r="B81" s="9">
        <v>0</v>
      </c>
      <c r="C81" s="9">
        <v>3</v>
      </c>
      <c r="D81" s="9">
        <v>160</v>
      </c>
      <c r="E81" s="9">
        <v>360</v>
      </c>
      <c r="F81" s="9">
        <v>0</v>
      </c>
      <c r="G81" s="9">
        <v>2</v>
      </c>
      <c r="H81" s="9">
        <v>151</v>
      </c>
      <c r="I81" s="9">
        <v>0</v>
      </c>
      <c r="J81" s="9">
        <v>0.8</v>
      </c>
      <c r="K81" s="9">
        <v>1</v>
      </c>
      <c r="L81" s="9">
        <v>0</v>
      </c>
      <c r="M81" s="9">
        <v>3</v>
      </c>
      <c r="N81" s="9">
        <v>0</v>
      </c>
      <c r="O81" s="13">
        <f t="shared" si="7"/>
        <v>-1.7513069730706619</v>
      </c>
      <c r="P81" s="13">
        <f t="shared" si="8"/>
        <v>0.14788242634819571</v>
      </c>
      <c r="Q81" s="13">
        <f t="shared" si="9"/>
        <v>0</v>
      </c>
      <c r="R81" s="13">
        <f t="shared" si="10"/>
        <v>0</v>
      </c>
      <c r="S81" s="13">
        <f t="shared" si="11"/>
        <v>0.85211757365180429</v>
      </c>
      <c r="T81" s="13">
        <f t="shared" si="12"/>
        <v>-0.16003076442966335</v>
      </c>
    </row>
    <row r="82" spans="1:20" x14ac:dyDescent="0.3">
      <c r="A82" s="9">
        <v>60</v>
      </c>
      <c r="B82" s="9">
        <v>1</v>
      </c>
      <c r="C82" s="9">
        <v>4</v>
      </c>
      <c r="D82" s="9">
        <v>125</v>
      </c>
      <c r="E82" s="9">
        <v>258</v>
      </c>
      <c r="F82" s="9">
        <v>0</v>
      </c>
      <c r="G82" s="9">
        <v>2</v>
      </c>
      <c r="H82" s="9">
        <v>141</v>
      </c>
      <c r="I82" s="9">
        <v>1</v>
      </c>
      <c r="J82" s="9">
        <v>2.8</v>
      </c>
      <c r="K82" s="9">
        <v>2</v>
      </c>
      <c r="L82" s="9">
        <v>1</v>
      </c>
      <c r="M82" s="9">
        <v>7</v>
      </c>
      <c r="N82" s="9">
        <v>1</v>
      </c>
      <c r="O82" s="13">
        <f t="shared" si="7"/>
        <v>3.6982708927663559</v>
      </c>
      <c r="P82" s="13">
        <f t="shared" si="8"/>
        <v>0.97583223339471992</v>
      </c>
      <c r="Q82" s="13">
        <f t="shared" si="9"/>
        <v>1</v>
      </c>
      <c r="R82" s="13">
        <f t="shared" si="10"/>
        <v>0</v>
      </c>
      <c r="S82" s="13">
        <f t="shared" si="11"/>
        <v>0.97583223339471992</v>
      </c>
      <c r="T82" s="13">
        <f t="shared" si="12"/>
        <v>-2.4464599357776555E-2</v>
      </c>
    </row>
    <row r="83" spans="1:20" x14ac:dyDescent="0.3">
      <c r="A83" s="9">
        <v>51</v>
      </c>
      <c r="B83" s="9">
        <v>0</v>
      </c>
      <c r="C83" s="9">
        <v>3</v>
      </c>
      <c r="D83" s="9">
        <v>140</v>
      </c>
      <c r="E83" s="9">
        <v>308</v>
      </c>
      <c r="F83" s="9">
        <v>0</v>
      </c>
      <c r="G83" s="9">
        <v>2</v>
      </c>
      <c r="H83" s="9">
        <v>142</v>
      </c>
      <c r="I83" s="9">
        <v>0</v>
      </c>
      <c r="J83" s="9">
        <v>1.5</v>
      </c>
      <c r="K83" s="9">
        <v>1</v>
      </c>
      <c r="L83" s="9">
        <v>1</v>
      </c>
      <c r="M83" s="9">
        <v>3</v>
      </c>
      <c r="N83" s="9">
        <v>0</v>
      </c>
      <c r="O83" s="13">
        <f t="shared" si="7"/>
        <v>-0.66519438561776845</v>
      </c>
      <c r="P83" s="13">
        <f t="shared" si="8"/>
        <v>0.33957373197944485</v>
      </c>
      <c r="Q83" s="13">
        <f t="shared" si="9"/>
        <v>0</v>
      </c>
      <c r="R83" s="13">
        <f t="shared" si="10"/>
        <v>0</v>
      </c>
      <c r="S83" s="13">
        <f t="shared" si="11"/>
        <v>0.66042626802055515</v>
      </c>
      <c r="T83" s="13">
        <f t="shared" si="12"/>
        <v>-0.41486979180268196</v>
      </c>
    </row>
    <row r="84" spans="1:20" x14ac:dyDescent="0.3">
      <c r="A84" s="9">
        <v>48</v>
      </c>
      <c r="B84" s="9">
        <v>1</v>
      </c>
      <c r="C84" s="9">
        <v>2</v>
      </c>
      <c r="D84" s="9">
        <v>130</v>
      </c>
      <c r="E84" s="9">
        <v>245</v>
      </c>
      <c r="F84" s="9">
        <v>0</v>
      </c>
      <c r="G84" s="9">
        <v>2</v>
      </c>
      <c r="H84" s="9">
        <v>180</v>
      </c>
      <c r="I84" s="9">
        <v>0</v>
      </c>
      <c r="J84" s="9">
        <v>0.2</v>
      </c>
      <c r="K84" s="9">
        <v>2</v>
      </c>
      <c r="L84" s="9">
        <v>0</v>
      </c>
      <c r="M84" s="9">
        <v>3</v>
      </c>
      <c r="N84" s="9">
        <v>0</v>
      </c>
      <c r="O84" s="13">
        <f t="shared" si="7"/>
        <v>-2.2472147975371435</v>
      </c>
      <c r="P84" s="13">
        <f t="shared" si="8"/>
        <v>9.558998165341033E-2</v>
      </c>
      <c r="Q84" s="13">
        <f t="shared" si="9"/>
        <v>0</v>
      </c>
      <c r="R84" s="13">
        <f t="shared" si="10"/>
        <v>0</v>
      </c>
      <c r="S84" s="13">
        <f t="shared" si="11"/>
        <v>0.90441001834658963</v>
      </c>
      <c r="T84" s="13">
        <f t="shared" si="12"/>
        <v>-0.10047246129935089</v>
      </c>
    </row>
    <row r="85" spans="1:20" x14ac:dyDescent="0.3">
      <c r="A85" s="9">
        <v>58</v>
      </c>
      <c r="B85" s="9">
        <v>1</v>
      </c>
      <c r="C85" s="9">
        <v>4</v>
      </c>
      <c r="D85" s="9">
        <v>150</v>
      </c>
      <c r="E85" s="9">
        <v>270</v>
      </c>
      <c r="F85" s="9">
        <v>0</v>
      </c>
      <c r="G85" s="9">
        <v>2</v>
      </c>
      <c r="H85" s="9">
        <v>111</v>
      </c>
      <c r="I85" s="9">
        <v>1</v>
      </c>
      <c r="J85" s="9">
        <v>0.8</v>
      </c>
      <c r="K85" s="9">
        <v>1</v>
      </c>
      <c r="L85" s="9">
        <v>0</v>
      </c>
      <c r="M85" s="9">
        <v>7</v>
      </c>
      <c r="N85" s="9">
        <v>1</v>
      </c>
      <c r="O85" s="13">
        <f t="shared" si="7"/>
        <v>2.6758222111895442</v>
      </c>
      <c r="P85" s="13">
        <f t="shared" si="8"/>
        <v>0.93558480319265269</v>
      </c>
      <c r="Q85" s="13">
        <f t="shared" si="9"/>
        <v>1</v>
      </c>
      <c r="R85" s="13">
        <f t="shared" si="10"/>
        <v>0</v>
      </c>
      <c r="S85" s="13">
        <f t="shared" si="11"/>
        <v>0.93558480319265269</v>
      </c>
      <c r="T85" s="13">
        <f t="shared" si="12"/>
        <v>-6.6583487250702608E-2</v>
      </c>
    </row>
    <row r="86" spans="1:20" x14ac:dyDescent="0.3">
      <c r="A86" s="9">
        <v>45</v>
      </c>
      <c r="B86" s="9">
        <v>1</v>
      </c>
      <c r="C86" s="9">
        <v>4</v>
      </c>
      <c r="D86" s="9">
        <v>104</v>
      </c>
      <c r="E86" s="9">
        <v>208</v>
      </c>
      <c r="F86" s="9">
        <v>0</v>
      </c>
      <c r="G86" s="9">
        <v>2</v>
      </c>
      <c r="H86" s="9">
        <v>148</v>
      </c>
      <c r="I86" s="9">
        <v>1</v>
      </c>
      <c r="J86" s="9">
        <v>3</v>
      </c>
      <c r="K86" s="9">
        <v>2</v>
      </c>
      <c r="L86" s="9">
        <v>0</v>
      </c>
      <c r="M86" s="9">
        <v>3</v>
      </c>
      <c r="N86" s="9">
        <v>0</v>
      </c>
      <c r="O86" s="13">
        <f t="shared" si="7"/>
        <v>0.41862169144755157</v>
      </c>
      <c r="P86" s="13">
        <f t="shared" si="8"/>
        <v>0.60315338573690391</v>
      </c>
      <c r="Q86" s="13">
        <f t="shared" si="9"/>
        <v>1</v>
      </c>
      <c r="R86" s="13">
        <f t="shared" si="10"/>
        <v>1</v>
      </c>
      <c r="S86" s="13">
        <f t="shared" si="11"/>
        <v>0.39684661426309609</v>
      </c>
      <c r="T86" s="13">
        <f t="shared" si="12"/>
        <v>-0.92420543500968932</v>
      </c>
    </row>
    <row r="87" spans="1:20" x14ac:dyDescent="0.3">
      <c r="A87" s="9">
        <v>53</v>
      </c>
      <c r="B87" s="9">
        <v>0</v>
      </c>
      <c r="C87" s="9">
        <v>4</v>
      </c>
      <c r="D87" s="9">
        <v>130</v>
      </c>
      <c r="E87" s="9">
        <v>264</v>
      </c>
      <c r="F87" s="9">
        <v>0</v>
      </c>
      <c r="G87" s="9">
        <v>2</v>
      </c>
      <c r="H87" s="9">
        <v>143</v>
      </c>
      <c r="I87" s="9">
        <v>0</v>
      </c>
      <c r="J87" s="9">
        <v>0.4</v>
      </c>
      <c r="K87" s="9">
        <v>2</v>
      </c>
      <c r="L87" s="9">
        <v>0</v>
      </c>
      <c r="M87" s="9">
        <v>3</v>
      </c>
      <c r="N87" s="9">
        <v>0</v>
      </c>
      <c r="O87" s="13">
        <f t="shared" si="7"/>
        <v>-1.5681516903802102</v>
      </c>
      <c r="P87" s="13">
        <f t="shared" si="8"/>
        <v>0.17248004253981741</v>
      </c>
      <c r="Q87" s="13">
        <f t="shared" si="9"/>
        <v>0</v>
      </c>
      <c r="R87" s="13">
        <f t="shared" si="10"/>
        <v>0</v>
      </c>
      <c r="S87" s="13">
        <f t="shared" si="11"/>
        <v>0.82751995746018259</v>
      </c>
      <c r="T87" s="13">
        <f t="shared" si="12"/>
        <v>-0.1893220542450923</v>
      </c>
    </row>
    <row r="88" spans="1:20" x14ac:dyDescent="0.3">
      <c r="A88" s="9">
        <v>39</v>
      </c>
      <c r="B88" s="9">
        <v>1</v>
      </c>
      <c r="C88" s="9">
        <v>3</v>
      </c>
      <c r="D88" s="9">
        <v>140</v>
      </c>
      <c r="E88" s="9">
        <v>321</v>
      </c>
      <c r="F88" s="9">
        <v>0</v>
      </c>
      <c r="G88" s="9">
        <v>2</v>
      </c>
      <c r="H88" s="9">
        <v>182</v>
      </c>
      <c r="I88" s="9">
        <v>0</v>
      </c>
      <c r="J88" s="9">
        <v>0</v>
      </c>
      <c r="K88" s="9">
        <v>1</v>
      </c>
      <c r="L88" s="9">
        <v>0</v>
      </c>
      <c r="M88" s="9">
        <v>3</v>
      </c>
      <c r="N88" s="9">
        <v>0</v>
      </c>
      <c r="O88" s="13">
        <f t="shared" si="7"/>
        <v>-1.5853539886915691</v>
      </c>
      <c r="P88" s="13">
        <f t="shared" si="8"/>
        <v>0.17003856258675112</v>
      </c>
      <c r="Q88" s="13">
        <f t="shared" si="9"/>
        <v>0</v>
      </c>
      <c r="R88" s="13">
        <f t="shared" si="10"/>
        <v>0</v>
      </c>
      <c r="S88" s="13">
        <f t="shared" si="11"/>
        <v>0.8299614374132489</v>
      </c>
      <c r="T88" s="13">
        <f t="shared" si="12"/>
        <v>-0.18637604021872961</v>
      </c>
    </row>
    <row r="89" spans="1:20" x14ac:dyDescent="0.3">
      <c r="A89" s="9">
        <v>68</v>
      </c>
      <c r="B89" s="9">
        <v>1</v>
      </c>
      <c r="C89" s="9">
        <v>3</v>
      </c>
      <c r="D89" s="9">
        <v>180</v>
      </c>
      <c r="E89" s="9">
        <v>274</v>
      </c>
      <c r="F89" s="9">
        <v>1</v>
      </c>
      <c r="G89" s="9">
        <v>2</v>
      </c>
      <c r="H89" s="9">
        <v>150</v>
      </c>
      <c r="I89" s="9">
        <v>1</v>
      </c>
      <c r="J89" s="9">
        <v>1.6</v>
      </c>
      <c r="K89" s="9">
        <v>2</v>
      </c>
      <c r="L89" s="9">
        <v>0</v>
      </c>
      <c r="M89" s="9">
        <v>7</v>
      </c>
      <c r="N89" s="9">
        <v>1</v>
      </c>
      <c r="O89" s="13">
        <f t="shared" si="7"/>
        <v>1.6377287431011958</v>
      </c>
      <c r="P89" s="13">
        <f t="shared" si="8"/>
        <v>0.83722565014050443</v>
      </c>
      <c r="Q89" s="13">
        <f t="shared" si="9"/>
        <v>1</v>
      </c>
      <c r="R89" s="13">
        <f t="shared" si="10"/>
        <v>0</v>
      </c>
      <c r="S89" s="13">
        <f t="shared" si="11"/>
        <v>0.83722565014050443</v>
      </c>
      <c r="T89" s="13">
        <f t="shared" si="12"/>
        <v>-0.17766165087137953</v>
      </c>
    </row>
    <row r="90" spans="1:20" x14ac:dyDescent="0.3">
      <c r="A90" s="9">
        <v>52</v>
      </c>
      <c r="B90" s="9">
        <v>1</v>
      </c>
      <c r="C90" s="9">
        <v>2</v>
      </c>
      <c r="D90" s="9">
        <v>120</v>
      </c>
      <c r="E90" s="9">
        <v>325</v>
      </c>
      <c r="F90" s="9">
        <v>0</v>
      </c>
      <c r="G90" s="9">
        <v>0</v>
      </c>
      <c r="H90" s="9">
        <v>172</v>
      </c>
      <c r="I90" s="9">
        <v>0</v>
      </c>
      <c r="J90" s="9">
        <v>0.2</v>
      </c>
      <c r="K90" s="9">
        <v>1</v>
      </c>
      <c r="L90" s="9">
        <v>0</v>
      </c>
      <c r="M90" s="9">
        <v>3</v>
      </c>
      <c r="N90" s="9">
        <v>0</v>
      </c>
      <c r="O90" s="13">
        <f t="shared" si="7"/>
        <v>-3.0401711793085067</v>
      </c>
      <c r="P90" s="13">
        <f t="shared" si="8"/>
        <v>4.5643713571310744E-2</v>
      </c>
      <c r="Q90" s="13">
        <f t="shared" si="9"/>
        <v>0</v>
      </c>
      <c r="R90" s="13">
        <f t="shared" si="10"/>
        <v>0</v>
      </c>
      <c r="S90" s="13">
        <f t="shared" si="11"/>
        <v>0.9543562864286893</v>
      </c>
      <c r="T90" s="13">
        <f t="shared" si="12"/>
        <v>-4.6718211396700841E-2</v>
      </c>
    </row>
    <row r="91" spans="1:20" x14ac:dyDescent="0.3">
      <c r="A91" s="9">
        <v>44</v>
      </c>
      <c r="B91" s="9">
        <v>1</v>
      </c>
      <c r="C91" s="9">
        <v>3</v>
      </c>
      <c r="D91" s="9">
        <v>140</v>
      </c>
      <c r="E91" s="9">
        <v>235</v>
      </c>
      <c r="F91" s="9">
        <v>0</v>
      </c>
      <c r="G91" s="9">
        <v>2</v>
      </c>
      <c r="H91" s="9">
        <v>180</v>
      </c>
      <c r="I91" s="9">
        <v>0</v>
      </c>
      <c r="J91" s="9">
        <v>0</v>
      </c>
      <c r="K91" s="9">
        <v>1</v>
      </c>
      <c r="L91" s="9">
        <v>0</v>
      </c>
      <c r="M91" s="9">
        <v>3</v>
      </c>
      <c r="N91" s="9">
        <v>0</v>
      </c>
      <c r="O91" s="13">
        <f t="shared" si="7"/>
        <v>-2.043467804826081</v>
      </c>
      <c r="P91" s="13">
        <f t="shared" si="8"/>
        <v>0.11471408912333114</v>
      </c>
      <c r="Q91" s="13">
        <f t="shared" si="9"/>
        <v>0</v>
      </c>
      <c r="R91" s="13">
        <f t="shared" si="10"/>
        <v>0</v>
      </c>
      <c r="S91" s="13">
        <f t="shared" si="11"/>
        <v>0.88528591087666886</v>
      </c>
      <c r="T91" s="13">
        <f t="shared" si="12"/>
        <v>-0.12184462301038737</v>
      </c>
    </row>
    <row r="92" spans="1:20" x14ac:dyDescent="0.3">
      <c r="A92" s="9">
        <v>47</v>
      </c>
      <c r="B92" s="9">
        <v>1</v>
      </c>
      <c r="C92" s="9">
        <v>3</v>
      </c>
      <c r="D92" s="9">
        <v>138</v>
      </c>
      <c r="E92" s="9">
        <v>257</v>
      </c>
      <c r="F92" s="9">
        <v>0</v>
      </c>
      <c r="G92" s="9">
        <v>2</v>
      </c>
      <c r="H92" s="9">
        <v>156</v>
      </c>
      <c r="I92" s="9">
        <v>0</v>
      </c>
      <c r="J92" s="9">
        <v>0</v>
      </c>
      <c r="K92" s="9">
        <v>1</v>
      </c>
      <c r="L92" s="9">
        <v>0</v>
      </c>
      <c r="M92" s="9">
        <v>3</v>
      </c>
      <c r="N92" s="9">
        <v>0</v>
      </c>
      <c r="O92" s="13">
        <f t="shared" si="7"/>
        <v>-1.5277460789369197</v>
      </c>
      <c r="P92" s="13">
        <f t="shared" si="8"/>
        <v>0.17832370071265327</v>
      </c>
      <c r="Q92" s="13">
        <f t="shared" si="9"/>
        <v>0</v>
      </c>
      <c r="R92" s="13">
        <f t="shared" si="10"/>
        <v>0</v>
      </c>
      <c r="S92" s="13">
        <f t="shared" si="11"/>
        <v>0.82167629928734676</v>
      </c>
      <c r="T92" s="13">
        <f t="shared" si="12"/>
        <v>-0.19640875797156868</v>
      </c>
    </row>
    <row r="93" spans="1:20" x14ac:dyDescent="0.3">
      <c r="A93" s="9">
        <v>53</v>
      </c>
      <c r="B93" s="9">
        <v>0</v>
      </c>
      <c r="C93" s="9">
        <v>4</v>
      </c>
      <c r="D93" s="9">
        <v>138</v>
      </c>
      <c r="E93" s="9">
        <v>234</v>
      </c>
      <c r="F93" s="9">
        <v>0</v>
      </c>
      <c r="G93" s="9">
        <v>2</v>
      </c>
      <c r="H93" s="9">
        <v>160</v>
      </c>
      <c r="I93" s="9">
        <v>0</v>
      </c>
      <c r="J93" s="9">
        <v>0</v>
      </c>
      <c r="K93" s="9">
        <v>1</v>
      </c>
      <c r="L93" s="9">
        <v>0</v>
      </c>
      <c r="M93" s="9">
        <v>3</v>
      </c>
      <c r="N93" s="9">
        <v>0</v>
      </c>
      <c r="O93" s="13">
        <f t="shared" si="7"/>
        <v>-2.5458885340931623</v>
      </c>
      <c r="P93" s="13">
        <f t="shared" si="8"/>
        <v>7.2703183331119622E-2</v>
      </c>
      <c r="Q93" s="13">
        <f t="shared" si="9"/>
        <v>0</v>
      </c>
      <c r="R93" s="13">
        <f t="shared" si="10"/>
        <v>0</v>
      </c>
      <c r="S93" s="13">
        <f t="shared" si="11"/>
        <v>0.92729681666888042</v>
      </c>
      <c r="T93" s="13">
        <f t="shared" si="12"/>
        <v>-7.5481574085029993E-2</v>
      </c>
    </row>
    <row r="94" spans="1:20" x14ac:dyDescent="0.3">
      <c r="A94" s="9">
        <v>51</v>
      </c>
      <c r="B94" s="9">
        <v>0</v>
      </c>
      <c r="C94" s="9">
        <v>3</v>
      </c>
      <c r="D94" s="9">
        <v>130</v>
      </c>
      <c r="E94" s="9">
        <v>256</v>
      </c>
      <c r="F94" s="9">
        <v>0</v>
      </c>
      <c r="G94" s="9">
        <v>2</v>
      </c>
      <c r="H94" s="9">
        <v>149</v>
      </c>
      <c r="I94" s="9">
        <v>0</v>
      </c>
      <c r="J94" s="9">
        <v>0.5</v>
      </c>
      <c r="K94" s="9">
        <v>1</v>
      </c>
      <c r="L94" s="9">
        <v>0</v>
      </c>
      <c r="M94" s="9">
        <v>3</v>
      </c>
      <c r="N94" s="9">
        <v>0</v>
      </c>
      <c r="O94" s="13">
        <f t="shared" si="7"/>
        <v>-2.8244060218304785</v>
      </c>
      <c r="P94" s="13">
        <f t="shared" si="8"/>
        <v>5.6019481116807941E-2</v>
      </c>
      <c r="Q94" s="13">
        <f t="shared" si="9"/>
        <v>0</v>
      </c>
      <c r="R94" s="13">
        <f t="shared" si="10"/>
        <v>0</v>
      </c>
      <c r="S94" s="13">
        <f t="shared" si="11"/>
        <v>0.94398051888319201</v>
      </c>
      <c r="T94" s="13">
        <f t="shared" si="12"/>
        <v>-5.7649749825857209E-2</v>
      </c>
    </row>
    <row r="95" spans="1:20" x14ac:dyDescent="0.3">
      <c r="A95" s="9">
        <v>66</v>
      </c>
      <c r="B95" s="9">
        <v>1</v>
      </c>
      <c r="C95" s="9">
        <v>4</v>
      </c>
      <c r="D95" s="9">
        <v>120</v>
      </c>
      <c r="E95" s="9">
        <v>302</v>
      </c>
      <c r="F95" s="9">
        <v>0</v>
      </c>
      <c r="G95" s="9">
        <v>2</v>
      </c>
      <c r="H95" s="9">
        <v>151</v>
      </c>
      <c r="I95" s="9">
        <v>0</v>
      </c>
      <c r="J95" s="9">
        <v>0.4</v>
      </c>
      <c r="K95" s="9">
        <v>2</v>
      </c>
      <c r="L95" s="9">
        <v>0</v>
      </c>
      <c r="M95" s="9">
        <v>3</v>
      </c>
      <c r="N95" s="9">
        <v>0</v>
      </c>
      <c r="O95" s="13">
        <f t="shared" si="7"/>
        <v>-0.65768028618229479</v>
      </c>
      <c r="P95" s="13">
        <f t="shared" si="8"/>
        <v>0.34126089542883853</v>
      </c>
      <c r="Q95" s="13">
        <f t="shared" si="9"/>
        <v>0</v>
      </c>
      <c r="R95" s="13">
        <f t="shared" si="10"/>
        <v>0</v>
      </c>
      <c r="S95" s="13">
        <f t="shared" si="11"/>
        <v>0.65873910457116147</v>
      </c>
      <c r="T95" s="13">
        <f t="shared" si="12"/>
        <v>-0.41742771881376384</v>
      </c>
    </row>
    <row r="96" spans="1:20" x14ac:dyDescent="0.3">
      <c r="A96" s="9">
        <v>62</v>
      </c>
      <c r="B96" s="9">
        <v>0</v>
      </c>
      <c r="C96" s="9">
        <v>4</v>
      </c>
      <c r="D96" s="9">
        <v>160</v>
      </c>
      <c r="E96" s="9">
        <v>164</v>
      </c>
      <c r="F96" s="9">
        <v>0</v>
      </c>
      <c r="G96" s="9">
        <v>2</v>
      </c>
      <c r="H96" s="9">
        <v>145</v>
      </c>
      <c r="I96" s="9">
        <v>0</v>
      </c>
      <c r="J96" s="9">
        <v>6.2</v>
      </c>
      <c r="K96" s="9">
        <v>3</v>
      </c>
      <c r="L96" s="9">
        <v>3</v>
      </c>
      <c r="M96" s="9">
        <v>7</v>
      </c>
      <c r="N96" s="9">
        <v>1</v>
      </c>
      <c r="O96" s="13">
        <f t="shared" si="7"/>
        <v>5.6683157257809427</v>
      </c>
      <c r="P96" s="13">
        <f t="shared" si="8"/>
        <v>0.99655820951387952</v>
      </c>
      <c r="Q96" s="13">
        <f t="shared" si="9"/>
        <v>1</v>
      </c>
      <c r="R96" s="13">
        <f t="shared" si="10"/>
        <v>0</v>
      </c>
      <c r="S96" s="13">
        <f t="shared" si="11"/>
        <v>0.99655820951387952</v>
      </c>
      <c r="T96" s="13">
        <f t="shared" si="12"/>
        <v>-3.4477270725675833E-3</v>
      </c>
    </row>
    <row r="97" spans="1:20" x14ac:dyDescent="0.3">
      <c r="A97" s="9">
        <v>62</v>
      </c>
      <c r="B97" s="9">
        <v>1</v>
      </c>
      <c r="C97" s="9">
        <v>3</v>
      </c>
      <c r="D97" s="9">
        <v>130</v>
      </c>
      <c r="E97" s="9">
        <v>231</v>
      </c>
      <c r="F97" s="9">
        <v>0</v>
      </c>
      <c r="G97" s="9">
        <v>0</v>
      </c>
      <c r="H97" s="9">
        <v>146</v>
      </c>
      <c r="I97" s="9">
        <v>0</v>
      </c>
      <c r="J97" s="9">
        <v>1.8</v>
      </c>
      <c r="K97" s="9">
        <v>2</v>
      </c>
      <c r="L97" s="9">
        <v>3</v>
      </c>
      <c r="M97" s="9">
        <v>7</v>
      </c>
      <c r="N97" s="9">
        <v>0</v>
      </c>
      <c r="O97" s="13">
        <f t="shared" si="7"/>
        <v>3.8476508013519979</v>
      </c>
      <c r="P97" s="13">
        <f t="shared" si="8"/>
        <v>0.97911567269139188</v>
      </c>
      <c r="Q97" s="13">
        <f t="shared" si="9"/>
        <v>1</v>
      </c>
      <c r="R97" s="13">
        <f t="shared" si="10"/>
        <v>1</v>
      </c>
      <c r="S97" s="13">
        <f t="shared" si="11"/>
        <v>2.0884327308608119E-2</v>
      </c>
      <c r="T97" s="13">
        <f t="shared" si="12"/>
        <v>-3.8687562908594564</v>
      </c>
    </row>
    <row r="98" spans="1:20" x14ac:dyDescent="0.3">
      <c r="A98" s="9">
        <v>44</v>
      </c>
      <c r="B98" s="9">
        <v>0</v>
      </c>
      <c r="C98" s="9">
        <v>3</v>
      </c>
      <c r="D98" s="9">
        <v>108</v>
      </c>
      <c r="E98" s="9">
        <v>141</v>
      </c>
      <c r="F98" s="9">
        <v>0</v>
      </c>
      <c r="G98" s="9">
        <v>0</v>
      </c>
      <c r="H98" s="9">
        <v>175</v>
      </c>
      <c r="I98" s="9">
        <v>0</v>
      </c>
      <c r="J98" s="9">
        <v>0.6</v>
      </c>
      <c r="K98" s="9">
        <v>2</v>
      </c>
      <c r="L98" s="9">
        <v>0</v>
      </c>
      <c r="M98" s="9">
        <v>3</v>
      </c>
      <c r="N98" s="9">
        <v>0</v>
      </c>
      <c r="O98" s="13">
        <f t="shared" si="7"/>
        <v>-4.2609700872033001</v>
      </c>
      <c r="P98" s="13">
        <f t="shared" si="8"/>
        <v>1.3912325623083241E-2</v>
      </c>
      <c r="Q98" s="13">
        <f t="shared" si="9"/>
        <v>0</v>
      </c>
      <c r="R98" s="13">
        <f t="shared" si="10"/>
        <v>0</v>
      </c>
      <c r="S98" s="13">
        <f t="shared" si="11"/>
        <v>0.9860876743769168</v>
      </c>
      <c r="T98" s="13">
        <f t="shared" si="12"/>
        <v>-1.4010009086217563E-2</v>
      </c>
    </row>
    <row r="99" spans="1:20" x14ac:dyDescent="0.3">
      <c r="A99" s="9">
        <v>63</v>
      </c>
      <c r="B99" s="9">
        <v>0</v>
      </c>
      <c r="C99" s="9">
        <v>3</v>
      </c>
      <c r="D99" s="9">
        <v>135</v>
      </c>
      <c r="E99" s="9">
        <v>252</v>
      </c>
      <c r="F99" s="9">
        <v>0</v>
      </c>
      <c r="G99" s="9">
        <v>2</v>
      </c>
      <c r="H99" s="9">
        <v>172</v>
      </c>
      <c r="I99" s="9">
        <v>0</v>
      </c>
      <c r="J99" s="9">
        <v>0</v>
      </c>
      <c r="K99" s="9">
        <v>1</v>
      </c>
      <c r="L99" s="9">
        <v>0</v>
      </c>
      <c r="M99" s="9">
        <v>3</v>
      </c>
      <c r="N99" s="9">
        <v>0</v>
      </c>
      <c r="O99" s="13">
        <f t="shared" si="7"/>
        <v>-3.4941963045067159</v>
      </c>
      <c r="P99" s="13">
        <f t="shared" si="8"/>
        <v>2.94778153050794E-2</v>
      </c>
      <c r="Q99" s="13">
        <f t="shared" si="9"/>
        <v>0</v>
      </c>
      <c r="R99" s="13">
        <f t="shared" si="10"/>
        <v>0</v>
      </c>
      <c r="S99" s="13">
        <f t="shared" si="11"/>
        <v>0.97052218469492058</v>
      </c>
      <c r="T99" s="13">
        <f t="shared" si="12"/>
        <v>-2.9921017597838655E-2</v>
      </c>
    </row>
    <row r="100" spans="1:20" x14ac:dyDescent="0.3">
      <c r="A100" s="9">
        <v>52</v>
      </c>
      <c r="B100" s="9">
        <v>1</v>
      </c>
      <c r="C100" s="9">
        <v>4</v>
      </c>
      <c r="D100" s="9">
        <v>128</v>
      </c>
      <c r="E100" s="9">
        <v>255</v>
      </c>
      <c r="F100" s="9">
        <v>0</v>
      </c>
      <c r="G100" s="9">
        <v>0</v>
      </c>
      <c r="H100" s="9">
        <v>161</v>
      </c>
      <c r="I100" s="9">
        <v>1</v>
      </c>
      <c r="J100" s="9">
        <v>0</v>
      </c>
      <c r="K100" s="9">
        <v>1</v>
      </c>
      <c r="L100" s="9">
        <v>1</v>
      </c>
      <c r="M100" s="9">
        <v>7</v>
      </c>
      <c r="N100" s="9">
        <v>1</v>
      </c>
      <c r="O100" s="13">
        <f t="shared" si="7"/>
        <v>1.7020051334967192</v>
      </c>
      <c r="P100" s="13">
        <f t="shared" si="8"/>
        <v>0.84579643546942229</v>
      </c>
      <c r="Q100" s="13">
        <f t="shared" si="9"/>
        <v>1</v>
      </c>
      <c r="R100" s="13">
        <f t="shared" si="10"/>
        <v>0</v>
      </c>
      <c r="S100" s="13">
        <f t="shared" si="11"/>
        <v>0.84579643546942229</v>
      </c>
      <c r="T100" s="13">
        <f t="shared" si="12"/>
        <v>-0.16747656834205682</v>
      </c>
    </row>
    <row r="101" spans="1:20" x14ac:dyDescent="0.3">
      <c r="A101" s="9">
        <v>59</v>
      </c>
      <c r="B101" s="9">
        <v>1</v>
      </c>
      <c r="C101" s="9">
        <v>4</v>
      </c>
      <c r="D101" s="9">
        <v>110</v>
      </c>
      <c r="E101" s="9">
        <v>239</v>
      </c>
      <c r="F101" s="9">
        <v>0</v>
      </c>
      <c r="G101" s="9">
        <v>2</v>
      </c>
      <c r="H101" s="9">
        <v>142</v>
      </c>
      <c r="I101" s="9">
        <v>1</v>
      </c>
      <c r="J101" s="9">
        <v>1.2</v>
      </c>
      <c r="K101" s="9">
        <v>2</v>
      </c>
      <c r="L101" s="9">
        <v>1</v>
      </c>
      <c r="M101" s="9">
        <v>7</v>
      </c>
      <c r="N101" s="9">
        <v>1</v>
      </c>
      <c r="O101" s="13">
        <f t="shared" si="7"/>
        <v>2.8409047648062167</v>
      </c>
      <c r="P101" s="13">
        <f t="shared" si="8"/>
        <v>0.94484662982736478</v>
      </c>
      <c r="Q101" s="13">
        <f t="shared" si="9"/>
        <v>1</v>
      </c>
      <c r="R101" s="13">
        <f t="shared" si="10"/>
        <v>0</v>
      </c>
      <c r="S101" s="13">
        <f t="shared" si="11"/>
        <v>0.94484662982736478</v>
      </c>
      <c r="T101" s="13">
        <f t="shared" si="12"/>
        <v>-5.6732661138872056E-2</v>
      </c>
    </row>
    <row r="102" spans="1:20" x14ac:dyDescent="0.3">
      <c r="A102" s="9">
        <v>60</v>
      </c>
      <c r="B102" s="9">
        <v>0</v>
      </c>
      <c r="C102" s="9">
        <v>4</v>
      </c>
      <c r="D102" s="9">
        <v>150</v>
      </c>
      <c r="E102" s="9">
        <v>258</v>
      </c>
      <c r="F102" s="9">
        <v>0</v>
      </c>
      <c r="G102" s="9">
        <v>2</v>
      </c>
      <c r="H102" s="9">
        <v>157</v>
      </c>
      <c r="I102" s="9">
        <v>0</v>
      </c>
      <c r="J102" s="9">
        <v>2.6</v>
      </c>
      <c r="K102" s="9">
        <v>2</v>
      </c>
      <c r="L102" s="9">
        <v>2</v>
      </c>
      <c r="M102" s="9">
        <v>7</v>
      </c>
      <c r="N102" s="9">
        <v>1</v>
      </c>
      <c r="O102" s="13">
        <f t="shared" si="7"/>
        <v>2.9486800066044214</v>
      </c>
      <c r="P102" s="13">
        <f t="shared" si="8"/>
        <v>0.95020106477737942</v>
      </c>
      <c r="Q102" s="13">
        <f t="shared" si="9"/>
        <v>1</v>
      </c>
      <c r="R102" s="13">
        <f t="shared" si="10"/>
        <v>0</v>
      </c>
      <c r="S102" s="13">
        <f t="shared" si="11"/>
        <v>0.95020106477737942</v>
      </c>
      <c r="T102" s="13">
        <f t="shared" si="12"/>
        <v>-5.1081669647561903E-2</v>
      </c>
    </row>
    <row r="103" spans="1:20" x14ac:dyDescent="0.3">
      <c r="A103" s="9">
        <v>52</v>
      </c>
      <c r="B103" s="9">
        <v>1</v>
      </c>
      <c r="C103" s="9">
        <v>2</v>
      </c>
      <c r="D103" s="9">
        <v>134</v>
      </c>
      <c r="E103" s="9">
        <v>201</v>
      </c>
      <c r="F103" s="9">
        <v>0</v>
      </c>
      <c r="G103" s="9">
        <v>0</v>
      </c>
      <c r="H103" s="9">
        <v>158</v>
      </c>
      <c r="I103" s="9">
        <v>0</v>
      </c>
      <c r="J103" s="9">
        <v>0.8</v>
      </c>
      <c r="K103" s="9">
        <v>1</v>
      </c>
      <c r="L103" s="9">
        <v>1</v>
      </c>
      <c r="M103" s="9">
        <v>3</v>
      </c>
      <c r="N103" s="9">
        <v>0</v>
      </c>
      <c r="O103" s="13">
        <f t="shared" si="7"/>
        <v>-1.6160313866809588</v>
      </c>
      <c r="P103" s="13">
        <f t="shared" si="8"/>
        <v>0.16575291792455235</v>
      </c>
      <c r="Q103" s="13">
        <f t="shared" si="9"/>
        <v>0</v>
      </c>
      <c r="R103" s="13">
        <f t="shared" si="10"/>
        <v>0</v>
      </c>
      <c r="S103" s="13">
        <f t="shared" si="11"/>
        <v>0.83424708207544762</v>
      </c>
      <c r="T103" s="13">
        <f t="shared" si="12"/>
        <v>-0.18122565901880511</v>
      </c>
    </row>
    <row r="104" spans="1:20" x14ac:dyDescent="0.3">
      <c r="A104" s="9">
        <v>48</v>
      </c>
      <c r="B104" s="9">
        <v>1</v>
      </c>
      <c r="C104" s="9">
        <v>4</v>
      </c>
      <c r="D104" s="9">
        <v>122</v>
      </c>
      <c r="E104" s="9">
        <v>222</v>
      </c>
      <c r="F104" s="9">
        <v>0</v>
      </c>
      <c r="G104" s="9">
        <v>2</v>
      </c>
      <c r="H104" s="9">
        <v>186</v>
      </c>
      <c r="I104" s="9">
        <v>0</v>
      </c>
      <c r="J104" s="9">
        <v>0</v>
      </c>
      <c r="K104" s="9">
        <v>1</v>
      </c>
      <c r="L104" s="9">
        <v>0</v>
      </c>
      <c r="M104" s="9">
        <v>3</v>
      </c>
      <c r="N104" s="9">
        <v>0</v>
      </c>
      <c r="O104" s="13">
        <f t="shared" si="7"/>
        <v>-2.1458453128980306</v>
      </c>
      <c r="P104" s="13">
        <f t="shared" si="8"/>
        <v>0.10472010163002436</v>
      </c>
      <c r="Q104" s="13">
        <f t="shared" si="9"/>
        <v>0</v>
      </c>
      <c r="R104" s="13">
        <f t="shared" si="10"/>
        <v>0</v>
      </c>
      <c r="S104" s="13">
        <f t="shared" si="11"/>
        <v>0.89527989836997568</v>
      </c>
      <c r="T104" s="13">
        <f t="shared" si="12"/>
        <v>-0.11061887398995769</v>
      </c>
    </row>
    <row r="105" spans="1:20" x14ac:dyDescent="0.3">
      <c r="A105" s="9">
        <v>45</v>
      </c>
      <c r="B105" s="9">
        <v>1</v>
      </c>
      <c r="C105" s="9">
        <v>4</v>
      </c>
      <c r="D105" s="9">
        <v>115</v>
      </c>
      <c r="E105" s="9">
        <v>260</v>
      </c>
      <c r="F105" s="9">
        <v>0</v>
      </c>
      <c r="G105" s="9">
        <v>2</v>
      </c>
      <c r="H105" s="9">
        <v>185</v>
      </c>
      <c r="I105" s="9">
        <v>0</v>
      </c>
      <c r="J105" s="9">
        <v>0</v>
      </c>
      <c r="K105" s="9">
        <v>1</v>
      </c>
      <c r="L105" s="9">
        <v>0</v>
      </c>
      <c r="M105" s="9">
        <v>3</v>
      </c>
      <c r="N105" s="9">
        <v>0</v>
      </c>
      <c r="O105" s="13">
        <f t="shared" si="7"/>
        <v>-2.0613682113812093</v>
      </c>
      <c r="P105" s="13">
        <f t="shared" si="8"/>
        <v>0.11290871696004141</v>
      </c>
      <c r="Q105" s="13">
        <f t="shared" si="9"/>
        <v>0</v>
      </c>
      <c r="R105" s="13">
        <f t="shared" si="10"/>
        <v>0</v>
      </c>
      <c r="S105" s="13">
        <f t="shared" si="11"/>
        <v>0.88709128303995854</v>
      </c>
      <c r="T105" s="13">
        <f t="shared" si="12"/>
        <v>-0.11980738985946203</v>
      </c>
    </row>
    <row r="106" spans="1:20" x14ac:dyDescent="0.3">
      <c r="A106" s="9">
        <v>34</v>
      </c>
      <c r="B106" s="9">
        <v>1</v>
      </c>
      <c r="C106" s="9">
        <v>1</v>
      </c>
      <c r="D106" s="9">
        <v>118</v>
      </c>
      <c r="E106" s="9">
        <v>182</v>
      </c>
      <c r="F106" s="9">
        <v>0</v>
      </c>
      <c r="G106" s="9">
        <v>2</v>
      </c>
      <c r="H106" s="9">
        <v>174</v>
      </c>
      <c r="I106" s="9">
        <v>0</v>
      </c>
      <c r="J106" s="9">
        <v>0</v>
      </c>
      <c r="K106" s="9">
        <v>1</v>
      </c>
      <c r="L106" s="9">
        <v>0</v>
      </c>
      <c r="M106" s="9">
        <v>3</v>
      </c>
      <c r="N106" s="9">
        <v>0</v>
      </c>
      <c r="O106" s="13">
        <f t="shared" si="7"/>
        <v>-3.7214235164770488</v>
      </c>
      <c r="P106" s="13">
        <f t="shared" si="8"/>
        <v>2.362771613833408E-2</v>
      </c>
      <c r="Q106" s="13">
        <f t="shared" si="9"/>
        <v>0</v>
      </c>
      <c r="R106" s="13">
        <f t="shared" si="10"/>
        <v>0</v>
      </c>
      <c r="S106" s="13">
        <f t="shared" si="11"/>
        <v>0.97637228386166597</v>
      </c>
      <c r="T106" s="13">
        <f t="shared" si="12"/>
        <v>-2.3911326915316181E-2</v>
      </c>
    </row>
    <row r="107" spans="1:20" x14ac:dyDescent="0.3">
      <c r="A107" s="9">
        <v>57</v>
      </c>
      <c r="B107" s="9">
        <v>0</v>
      </c>
      <c r="C107" s="9">
        <v>4</v>
      </c>
      <c r="D107" s="9">
        <v>128</v>
      </c>
      <c r="E107" s="9">
        <v>303</v>
      </c>
      <c r="F107" s="9">
        <v>0</v>
      </c>
      <c r="G107" s="9">
        <v>2</v>
      </c>
      <c r="H107" s="9">
        <v>159</v>
      </c>
      <c r="I107" s="9">
        <v>0</v>
      </c>
      <c r="J107" s="9">
        <v>0</v>
      </c>
      <c r="K107" s="9">
        <v>1</v>
      </c>
      <c r="L107" s="9">
        <v>1</v>
      </c>
      <c r="M107" s="9">
        <v>3</v>
      </c>
      <c r="N107" s="9">
        <v>0</v>
      </c>
      <c r="O107" s="13">
        <f t="shared" si="7"/>
        <v>-1.210722687654183</v>
      </c>
      <c r="P107" s="13">
        <f t="shared" si="8"/>
        <v>0.22957320467896786</v>
      </c>
      <c r="Q107" s="13">
        <f t="shared" si="9"/>
        <v>0</v>
      </c>
      <c r="R107" s="13">
        <f t="shared" si="10"/>
        <v>0</v>
      </c>
      <c r="S107" s="13">
        <f t="shared" si="11"/>
        <v>0.7704267953210322</v>
      </c>
      <c r="T107" s="13">
        <f t="shared" si="12"/>
        <v>-0.26081063805292232</v>
      </c>
    </row>
    <row r="108" spans="1:20" x14ac:dyDescent="0.3">
      <c r="A108" s="9">
        <v>71</v>
      </c>
      <c r="B108" s="9">
        <v>0</v>
      </c>
      <c r="C108" s="9">
        <v>3</v>
      </c>
      <c r="D108" s="9">
        <v>110</v>
      </c>
      <c r="E108" s="9">
        <v>265</v>
      </c>
      <c r="F108" s="9">
        <v>1</v>
      </c>
      <c r="G108" s="9">
        <v>2</v>
      </c>
      <c r="H108" s="9">
        <v>130</v>
      </c>
      <c r="I108" s="9">
        <v>0</v>
      </c>
      <c r="J108" s="9">
        <v>0</v>
      </c>
      <c r="K108" s="9">
        <v>1</v>
      </c>
      <c r="L108" s="9">
        <v>1</v>
      </c>
      <c r="M108" s="9">
        <v>3</v>
      </c>
      <c r="N108" s="9">
        <v>0</v>
      </c>
      <c r="O108" s="13">
        <f t="shared" si="7"/>
        <v>-3.0281276797091916</v>
      </c>
      <c r="P108" s="13">
        <f t="shared" si="8"/>
        <v>4.6171212931040588E-2</v>
      </c>
      <c r="Q108" s="13">
        <f t="shared" si="9"/>
        <v>0</v>
      </c>
      <c r="R108" s="13">
        <f t="shared" si="10"/>
        <v>0</v>
      </c>
      <c r="S108" s="13">
        <f t="shared" si="11"/>
        <v>0.95382878706895946</v>
      </c>
      <c r="T108" s="13">
        <f t="shared" si="12"/>
        <v>-4.7271092121420055E-2</v>
      </c>
    </row>
    <row r="109" spans="1:20" x14ac:dyDescent="0.3">
      <c r="A109" s="9">
        <v>49</v>
      </c>
      <c r="B109" s="9">
        <v>1</v>
      </c>
      <c r="C109" s="9">
        <v>3</v>
      </c>
      <c r="D109" s="9">
        <v>120</v>
      </c>
      <c r="E109" s="9">
        <v>188</v>
      </c>
      <c r="F109" s="9">
        <v>0</v>
      </c>
      <c r="G109" s="9">
        <v>0</v>
      </c>
      <c r="H109" s="9">
        <v>139</v>
      </c>
      <c r="I109" s="9">
        <v>0</v>
      </c>
      <c r="J109" s="9">
        <v>2</v>
      </c>
      <c r="K109" s="9">
        <v>2</v>
      </c>
      <c r="L109" s="9">
        <v>3</v>
      </c>
      <c r="M109" s="9">
        <v>7</v>
      </c>
      <c r="N109" s="9">
        <v>1</v>
      </c>
      <c r="O109" s="13">
        <f t="shared" si="7"/>
        <v>3.7719537914634369</v>
      </c>
      <c r="P109" s="13">
        <f t="shared" si="8"/>
        <v>0.97751035252380458</v>
      </c>
      <c r="Q109" s="13">
        <f t="shared" si="9"/>
        <v>1</v>
      </c>
      <c r="R109" s="13">
        <f t="shared" si="10"/>
        <v>0</v>
      </c>
      <c r="S109" s="13">
        <f t="shared" si="11"/>
        <v>0.97751035252380458</v>
      </c>
      <c r="T109" s="13">
        <f t="shared" si="12"/>
        <v>-2.2746396361507135E-2</v>
      </c>
    </row>
    <row r="110" spans="1:20" x14ac:dyDescent="0.3">
      <c r="A110" s="9">
        <v>54</v>
      </c>
      <c r="B110" s="9">
        <v>1</v>
      </c>
      <c r="C110" s="9">
        <v>2</v>
      </c>
      <c r="D110" s="9">
        <v>108</v>
      </c>
      <c r="E110" s="9">
        <v>309</v>
      </c>
      <c r="F110" s="9">
        <v>0</v>
      </c>
      <c r="G110" s="9">
        <v>0</v>
      </c>
      <c r="H110" s="9">
        <v>156</v>
      </c>
      <c r="I110" s="9">
        <v>0</v>
      </c>
      <c r="J110" s="9">
        <v>0</v>
      </c>
      <c r="K110" s="9">
        <v>1</v>
      </c>
      <c r="L110" s="9">
        <v>0</v>
      </c>
      <c r="M110" s="9">
        <v>7</v>
      </c>
      <c r="N110" s="9">
        <v>0</v>
      </c>
      <c r="O110" s="13">
        <f t="shared" si="7"/>
        <v>-1.779001241335453</v>
      </c>
      <c r="P110" s="13">
        <f t="shared" si="8"/>
        <v>0.14442650436801532</v>
      </c>
      <c r="Q110" s="13">
        <f t="shared" si="9"/>
        <v>0</v>
      </c>
      <c r="R110" s="13">
        <f t="shared" si="10"/>
        <v>0</v>
      </c>
      <c r="S110" s="13">
        <f t="shared" si="11"/>
        <v>0.8555734956319847</v>
      </c>
      <c r="T110" s="13">
        <f t="shared" si="12"/>
        <v>-0.15598327977592436</v>
      </c>
    </row>
    <row r="111" spans="1:20" x14ac:dyDescent="0.3">
      <c r="A111" s="9">
        <v>59</v>
      </c>
      <c r="B111" s="9">
        <v>1</v>
      </c>
      <c r="C111" s="9">
        <v>4</v>
      </c>
      <c r="D111" s="9">
        <v>140</v>
      </c>
      <c r="E111" s="9">
        <v>177</v>
      </c>
      <c r="F111" s="9">
        <v>0</v>
      </c>
      <c r="G111" s="9">
        <v>0</v>
      </c>
      <c r="H111" s="9">
        <v>162</v>
      </c>
      <c r="I111" s="9">
        <v>1</v>
      </c>
      <c r="J111" s="9">
        <v>0</v>
      </c>
      <c r="K111" s="9">
        <v>1</v>
      </c>
      <c r="L111" s="9">
        <v>1</v>
      </c>
      <c r="M111" s="9">
        <v>7</v>
      </c>
      <c r="N111" s="9">
        <v>1</v>
      </c>
      <c r="O111" s="13">
        <f t="shared" si="7"/>
        <v>1.4815493627973062</v>
      </c>
      <c r="P111" s="13">
        <f t="shared" si="8"/>
        <v>0.81480648875254524</v>
      </c>
      <c r="Q111" s="13">
        <f t="shared" si="9"/>
        <v>1</v>
      </c>
      <c r="R111" s="13">
        <f t="shared" si="10"/>
        <v>0</v>
      </c>
      <c r="S111" s="13">
        <f t="shared" si="11"/>
        <v>0.81480648875254524</v>
      </c>
      <c r="T111" s="13">
        <f t="shared" si="12"/>
        <v>-0.20480463104736993</v>
      </c>
    </row>
    <row r="112" spans="1:20" x14ac:dyDescent="0.3">
      <c r="A112" s="9">
        <v>57</v>
      </c>
      <c r="B112" s="9">
        <v>1</v>
      </c>
      <c r="C112" s="9">
        <v>3</v>
      </c>
      <c r="D112" s="9">
        <v>128</v>
      </c>
      <c r="E112" s="9">
        <v>229</v>
      </c>
      <c r="F112" s="9">
        <v>0</v>
      </c>
      <c r="G112" s="9">
        <v>2</v>
      </c>
      <c r="H112" s="9">
        <v>150</v>
      </c>
      <c r="I112" s="9">
        <v>0</v>
      </c>
      <c r="J112" s="9">
        <v>0.4</v>
      </c>
      <c r="K112" s="9">
        <v>2</v>
      </c>
      <c r="L112" s="9">
        <v>1</v>
      </c>
      <c r="M112" s="9">
        <v>7</v>
      </c>
      <c r="N112" s="9">
        <v>1</v>
      </c>
      <c r="O112" s="13">
        <f t="shared" si="7"/>
        <v>1.386855262545259</v>
      </c>
      <c r="P112" s="13">
        <f t="shared" si="8"/>
        <v>0.80008972912694787</v>
      </c>
      <c r="Q112" s="13">
        <f t="shared" si="9"/>
        <v>1</v>
      </c>
      <c r="R112" s="13">
        <f t="shared" si="10"/>
        <v>0</v>
      </c>
      <c r="S112" s="13">
        <f t="shared" si="11"/>
        <v>0.80008972912694787</v>
      </c>
      <c r="T112" s="13">
        <f t="shared" si="12"/>
        <v>-0.22303139619514542</v>
      </c>
    </row>
    <row r="113" spans="1:20" x14ac:dyDescent="0.3">
      <c r="A113" s="9">
        <v>61</v>
      </c>
      <c r="B113" s="9">
        <v>1</v>
      </c>
      <c r="C113" s="9">
        <v>4</v>
      </c>
      <c r="D113" s="9">
        <v>120</v>
      </c>
      <c r="E113" s="9">
        <v>260</v>
      </c>
      <c r="F113" s="9">
        <v>0</v>
      </c>
      <c r="G113" s="9">
        <v>0</v>
      </c>
      <c r="H113" s="9">
        <v>140</v>
      </c>
      <c r="I113" s="9">
        <v>1</v>
      </c>
      <c r="J113" s="9">
        <v>3.6</v>
      </c>
      <c r="K113" s="9">
        <v>2</v>
      </c>
      <c r="L113" s="9">
        <v>1</v>
      </c>
      <c r="M113" s="9">
        <v>7</v>
      </c>
      <c r="N113" s="9">
        <v>1</v>
      </c>
      <c r="O113" s="13">
        <f t="shared" si="7"/>
        <v>3.3019630970655189</v>
      </c>
      <c r="P113" s="13">
        <f t="shared" si="8"/>
        <v>0.96449609513319501</v>
      </c>
      <c r="Q113" s="13">
        <f t="shared" si="9"/>
        <v>1</v>
      </c>
      <c r="R113" s="13">
        <f t="shared" si="10"/>
        <v>0</v>
      </c>
      <c r="S113" s="13">
        <f t="shared" si="11"/>
        <v>0.96449609513319501</v>
      </c>
      <c r="T113" s="13">
        <f t="shared" si="12"/>
        <v>-3.6149495236363259E-2</v>
      </c>
    </row>
    <row r="114" spans="1:20" x14ac:dyDescent="0.3">
      <c r="A114" s="9">
        <v>39</v>
      </c>
      <c r="B114" s="9">
        <v>1</v>
      </c>
      <c r="C114" s="9">
        <v>4</v>
      </c>
      <c r="D114" s="9">
        <v>118</v>
      </c>
      <c r="E114" s="9">
        <v>219</v>
      </c>
      <c r="F114" s="9">
        <v>0</v>
      </c>
      <c r="G114" s="9">
        <v>0</v>
      </c>
      <c r="H114" s="9">
        <v>140</v>
      </c>
      <c r="I114" s="9">
        <v>0</v>
      </c>
      <c r="J114" s="9">
        <v>1.2</v>
      </c>
      <c r="K114" s="9">
        <v>2</v>
      </c>
      <c r="L114" s="9">
        <v>0</v>
      </c>
      <c r="M114" s="9">
        <v>7</v>
      </c>
      <c r="N114" s="9">
        <v>1</v>
      </c>
      <c r="O114" s="13">
        <f t="shared" si="7"/>
        <v>0.57460455670481814</v>
      </c>
      <c r="P114" s="13">
        <f t="shared" si="8"/>
        <v>0.6398249722745657</v>
      </c>
      <c r="Q114" s="13">
        <f t="shared" si="9"/>
        <v>1</v>
      </c>
      <c r="R114" s="13">
        <f t="shared" si="10"/>
        <v>0</v>
      </c>
      <c r="S114" s="13">
        <f t="shared" si="11"/>
        <v>0.6398249722745657</v>
      </c>
      <c r="T114" s="13">
        <f t="shared" si="12"/>
        <v>-0.44656062085210979</v>
      </c>
    </row>
    <row r="115" spans="1:20" x14ac:dyDescent="0.3">
      <c r="A115" s="9">
        <v>61</v>
      </c>
      <c r="B115" s="9">
        <v>0</v>
      </c>
      <c r="C115" s="9">
        <v>4</v>
      </c>
      <c r="D115" s="9">
        <v>145</v>
      </c>
      <c r="E115" s="9">
        <v>307</v>
      </c>
      <c r="F115" s="9">
        <v>0</v>
      </c>
      <c r="G115" s="9">
        <v>2</v>
      </c>
      <c r="H115" s="9">
        <v>146</v>
      </c>
      <c r="I115" s="9">
        <v>1</v>
      </c>
      <c r="J115" s="9">
        <v>1</v>
      </c>
      <c r="K115" s="9">
        <v>2</v>
      </c>
      <c r="L115" s="9">
        <v>0</v>
      </c>
      <c r="M115" s="9">
        <v>7</v>
      </c>
      <c r="N115" s="9">
        <v>1</v>
      </c>
      <c r="O115" s="13">
        <f t="shared" si="7"/>
        <v>1.2809558186572243</v>
      </c>
      <c r="P115" s="13">
        <f t="shared" si="8"/>
        <v>0.78261243397974278</v>
      </c>
      <c r="Q115" s="13">
        <f t="shared" si="9"/>
        <v>1</v>
      </c>
      <c r="R115" s="13">
        <f t="shared" si="10"/>
        <v>0</v>
      </c>
      <c r="S115" s="13">
        <f t="shared" si="11"/>
        <v>0.78261243397974278</v>
      </c>
      <c r="T115" s="13">
        <f t="shared" si="12"/>
        <v>-0.24511768129250008</v>
      </c>
    </row>
    <row r="116" spans="1:20" x14ac:dyDescent="0.3">
      <c r="A116" s="9">
        <v>56</v>
      </c>
      <c r="B116" s="9">
        <v>1</v>
      </c>
      <c r="C116" s="9">
        <v>4</v>
      </c>
      <c r="D116" s="9">
        <v>125</v>
      </c>
      <c r="E116" s="9">
        <v>249</v>
      </c>
      <c r="F116" s="9">
        <v>1</v>
      </c>
      <c r="G116" s="9">
        <v>2</v>
      </c>
      <c r="H116" s="9">
        <v>144</v>
      </c>
      <c r="I116" s="9">
        <v>1</v>
      </c>
      <c r="J116" s="9">
        <v>1.2</v>
      </c>
      <c r="K116" s="9">
        <v>2</v>
      </c>
      <c r="L116" s="9">
        <v>1</v>
      </c>
      <c r="M116" s="9">
        <v>3</v>
      </c>
      <c r="N116" s="9">
        <v>1</v>
      </c>
      <c r="O116" s="13">
        <f t="shared" si="7"/>
        <v>0.85486095617230973</v>
      </c>
      <c r="P116" s="13">
        <f t="shared" si="8"/>
        <v>0.70158584377795707</v>
      </c>
      <c r="Q116" s="13">
        <f t="shared" si="9"/>
        <v>1</v>
      </c>
      <c r="R116" s="13">
        <f t="shared" si="10"/>
        <v>0</v>
      </c>
      <c r="S116" s="13">
        <f t="shared" si="11"/>
        <v>0.70158584377795707</v>
      </c>
      <c r="T116" s="13">
        <f t="shared" si="12"/>
        <v>-0.35441201518308663</v>
      </c>
    </row>
    <row r="117" spans="1:20" x14ac:dyDescent="0.3">
      <c r="A117" s="9">
        <v>52</v>
      </c>
      <c r="B117" s="9">
        <v>1</v>
      </c>
      <c r="C117" s="9">
        <v>1</v>
      </c>
      <c r="D117" s="9">
        <v>118</v>
      </c>
      <c r="E117" s="9">
        <v>186</v>
      </c>
      <c r="F117" s="9">
        <v>0</v>
      </c>
      <c r="G117" s="9">
        <v>2</v>
      </c>
      <c r="H117" s="9">
        <v>190</v>
      </c>
      <c r="I117" s="9">
        <v>0</v>
      </c>
      <c r="J117" s="9">
        <v>0</v>
      </c>
      <c r="K117" s="9">
        <v>2</v>
      </c>
      <c r="L117" s="9">
        <v>0</v>
      </c>
      <c r="M117" s="9">
        <v>6</v>
      </c>
      <c r="N117" s="9">
        <v>0</v>
      </c>
      <c r="O117" s="13">
        <f t="shared" si="7"/>
        <v>-2.6864762000773315</v>
      </c>
      <c r="P117" s="13">
        <f t="shared" si="8"/>
        <v>6.3776096726699982E-2</v>
      </c>
      <c r="Q117" s="13">
        <f t="shared" si="9"/>
        <v>0</v>
      </c>
      <c r="R117" s="13">
        <f t="shared" si="10"/>
        <v>0</v>
      </c>
      <c r="S117" s="13">
        <f t="shared" si="11"/>
        <v>0.93622390327329996</v>
      </c>
      <c r="T117" s="13">
        <f t="shared" si="12"/>
        <v>-6.5900618212563752E-2</v>
      </c>
    </row>
    <row r="118" spans="1:20" x14ac:dyDescent="0.3">
      <c r="A118" s="9">
        <v>43</v>
      </c>
      <c r="B118" s="9">
        <v>0</v>
      </c>
      <c r="C118" s="9">
        <v>4</v>
      </c>
      <c r="D118" s="9">
        <v>132</v>
      </c>
      <c r="E118" s="9">
        <v>341</v>
      </c>
      <c r="F118" s="9">
        <v>1</v>
      </c>
      <c r="G118" s="9">
        <v>2</v>
      </c>
      <c r="H118" s="9">
        <v>136</v>
      </c>
      <c r="I118" s="9">
        <v>1</v>
      </c>
      <c r="J118" s="9">
        <v>3</v>
      </c>
      <c r="K118" s="9">
        <v>2</v>
      </c>
      <c r="L118" s="9">
        <v>0</v>
      </c>
      <c r="M118" s="9">
        <v>7</v>
      </c>
      <c r="N118" s="9">
        <v>1</v>
      </c>
      <c r="O118" s="13">
        <f t="shared" si="7"/>
        <v>1.0737938350197851</v>
      </c>
      <c r="P118" s="13">
        <f t="shared" si="8"/>
        <v>0.74531772859379652</v>
      </c>
      <c r="Q118" s="13">
        <f t="shared" si="9"/>
        <v>1</v>
      </c>
      <c r="R118" s="13">
        <f t="shared" si="10"/>
        <v>0</v>
      </c>
      <c r="S118" s="13">
        <f t="shared" si="11"/>
        <v>0.74531772859379652</v>
      </c>
      <c r="T118" s="13">
        <f t="shared" si="12"/>
        <v>-0.29394467018593778</v>
      </c>
    </row>
    <row r="119" spans="1:20" x14ac:dyDescent="0.3">
      <c r="A119" s="9">
        <v>62</v>
      </c>
      <c r="B119" s="9">
        <v>0</v>
      </c>
      <c r="C119" s="9">
        <v>3</v>
      </c>
      <c r="D119" s="9">
        <v>130</v>
      </c>
      <c r="E119" s="9">
        <v>263</v>
      </c>
      <c r="F119" s="9">
        <v>0</v>
      </c>
      <c r="G119" s="9">
        <v>0</v>
      </c>
      <c r="H119" s="9">
        <v>97</v>
      </c>
      <c r="I119" s="9">
        <v>0</v>
      </c>
      <c r="J119" s="9">
        <v>1.2</v>
      </c>
      <c r="K119" s="9">
        <v>2</v>
      </c>
      <c r="L119" s="9">
        <v>1</v>
      </c>
      <c r="M119" s="9">
        <v>7</v>
      </c>
      <c r="N119" s="9">
        <v>1</v>
      </c>
      <c r="O119" s="13">
        <f t="shared" si="7"/>
        <v>1.0262545740259839</v>
      </c>
      <c r="P119" s="13">
        <f t="shared" si="8"/>
        <v>0.73618912283203053</v>
      </c>
      <c r="Q119" s="13">
        <f t="shared" si="9"/>
        <v>1</v>
      </c>
      <c r="R119" s="13">
        <f t="shared" si="10"/>
        <v>0</v>
      </c>
      <c r="S119" s="13">
        <f t="shared" si="11"/>
        <v>0.73618912283203053</v>
      </c>
      <c r="T119" s="13">
        <f t="shared" si="12"/>
        <v>-0.30626823289231542</v>
      </c>
    </row>
    <row r="120" spans="1:20" x14ac:dyDescent="0.3">
      <c r="A120" s="9">
        <v>41</v>
      </c>
      <c r="B120" s="9">
        <v>1</v>
      </c>
      <c r="C120" s="9">
        <v>2</v>
      </c>
      <c r="D120" s="9">
        <v>135</v>
      </c>
      <c r="E120" s="9">
        <v>203</v>
      </c>
      <c r="F120" s="9">
        <v>0</v>
      </c>
      <c r="G120" s="9">
        <v>0</v>
      </c>
      <c r="H120" s="9">
        <v>132</v>
      </c>
      <c r="I120" s="9">
        <v>0</v>
      </c>
      <c r="J120" s="9">
        <v>0</v>
      </c>
      <c r="K120" s="9">
        <v>2</v>
      </c>
      <c r="L120" s="9">
        <v>0</v>
      </c>
      <c r="M120" s="9">
        <v>6</v>
      </c>
      <c r="N120" s="9">
        <v>0</v>
      </c>
      <c r="O120" s="13">
        <f t="shared" si="7"/>
        <v>-0.75187117520537594</v>
      </c>
      <c r="P120" s="13">
        <f t="shared" si="8"/>
        <v>0.32041371788609019</v>
      </c>
      <c r="Q120" s="13">
        <f t="shared" si="9"/>
        <v>0</v>
      </c>
      <c r="R120" s="13">
        <f t="shared" si="10"/>
        <v>0</v>
      </c>
      <c r="S120" s="13">
        <f t="shared" si="11"/>
        <v>0.67958628211390981</v>
      </c>
      <c r="T120" s="13">
        <f t="shared" si="12"/>
        <v>-0.38627107462365001</v>
      </c>
    </row>
    <row r="121" spans="1:20" x14ac:dyDescent="0.3">
      <c r="A121" s="9">
        <v>58</v>
      </c>
      <c r="B121" s="9">
        <v>1</v>
      </c>
      <c r="C121" s="9">
        <v>3</v>
      </c>
      <c r="D121" s="9">
        <v>140</v>
      </c>
      <c r="E121" s="9">
        <v>211</v>
      </c>
      <c r="F121" s="9">
        <v>1</v>
      </c>
      <c r="G121" s="9">
        <v>2</v>
      </c>
      <c r="H121" s="9">
        <v>165</v>
      </c>
      <c r="I121" s="9">
        <v>0</v>
      </c>
      <c r="J121" s="9">
        <v>0</v>
      </c>
      <c r="K121" s="9">
        <v>1</v>
      </c>
      <c r="L121" s="9">
        <v>0</v>
      </c>
      <c r="M121" s="9">
        <v>3</v>
      </c>
      <c r="N121" s="9">
        <v>0</v>
      </c>
      <c r="O121" s="13">
        <f t="shared" si="7"/>
        <v>-3.0727491953038122</v>
      </c>
      <c r="P121" s="13">
        <f t="shared" si="8"/>
        <v>4.4245424484070477E-2</v>
      </c>
      <c r="Q121" s="13">
        <f t="shared" si="9"/>
        <v>0</v>
      </c>
      <c r="R121" s="13">
        <f t="shared" si="10"/>
        <v>0</v>
      </c>
      <c r="S121" s="13">
        <f t="shared" si="11"/>
        <v>0.95575457551592957</v>
      </c>
      <c r="T121" s="13">
        <f t="shared" si="12"/>
        <v>-4.5254119060621635E-2</v>
      </c>
    </row>
    <row r="122" spans="1:20" x14ac:dyDescent="0.3">
      <c r="A122" s="9">
        <v>35</v>
      </c>
      <c r="B122" s="9">
        <v>0</v>
      </c>
      <c r="C122" s="9">
        <v>4</v>
      </c>
      <c r="D122" s="9">
        <v>138</v>
      </c>
      <c r="E122" s="9">
        <v>183</v>
      </c>
      <c r="F122" s="9">
        <v>0</v>
      </c>
      <c r="G122" s="9">
        <v>0</v>
      </c>
      <c r="H122" s="9">
        <v>182</v>
      </c>
      <c r="I122" s="9">
        <v>0</v>
      </c>
      <c r="J122" s="9">
        <v>1.4</v>
      </c>
      <c r="K122" s="9">
        <v>1</v>
      </c>
      <c r="L122" s="9">
        <v>0</v>
      </c>
      <c r="M122" s="9">
        <v>3</v>
      </c>
      <c r="N122" s="9">
        <v>0</v>
      </c>
      <c r="O122" s="13">
        <f t="shared" si="7"/>
        <v>-3.1441845376198554</v>
      </c>
      <c r="P122" s="13">
        <f t="shared" si="8"/>
        <v>4.132103613737035E-2</v>
      </c>
      <c r="Q122" s="13">
        <f t="shared" si="9"/>
        <v>0</v>
      </c>
      <c r="R122" s="13">
        <f t="shared" si="10"/>
        <v>0</v>
      </c>
      <c r="S122" s="13">
        <f t="shared" si="11"/>
        <v>0.95867896386262963</v>
      </c>
      <c r="T122" s="13">
        <f t="shared" si="12"/>
        <v>-4.2199021496625348E-2</v>
      </c>
    </row>
    <row r="123" spans="1:20" x14ac:dyDescent="0.3">
      <c r="A123" s="9">
        <v>63</v>
      </c>
      <c r="B123" s="9">
        <v>1</v>
      </c>
      <c r="C123" s="9">
        <v>4</v>
      </c>
      <c r="D123" s="9">
        <v>130</v>
      </c>
      <c r="E123" s="9">
        <v>330</v>
      </c>
      <c r="F123" s="9">
        <v>1</v>
      </c>
      <c r="G123" s="9">
        <v>2</v>
      </c>
      <c r="H123" s="9">
        <v>132</v>
      </c>
      <c r="I123" s="9">
        <v>1</v>
      </c>
      <c r="J123" s="9">
        <v>1.8</v>
      </c>
      <c r="K123" s="9">
        <v>1</v>
      </c>
      <c r="L123" s="9">
        <v>3</v>
      </c>
      <c r="M123" s="9">
        <v>7</v>
      </c>
      <c r="N123" s="9">
        <v>1</v>
      </c>
      <c r="O123" s="13">
        <f t="shared" si="7"/>
        <v>5.0175348265914597</v>
      </c>
      <c r="P123" s="13">
        <f t="shared" si="8"/>
        <v>0.99342271894963008</v>
      </c>
      <c r="Q123" s="13">
        <f t="shared" si="9"/>
        <v>1</v>
      </c>
      <c r="R123" s="13">
        <f t="shared" si="10"/>
        <v>0</v>
      </c>
      <c r="S123" s="13">
        <f t="shared" si="11"/>
        <v>0.99342271894963008</v>
      </c>
      <c r="T123" s="13">
        <f t="shared" si="12"/>
        <v>-6.5990066794888013E-3</v>
      </c>
    </row>
    <row r="124" spans="1:20" x14ac:dyDescent="0.3">
      <c r="A124" s="9">
        <v>65</v>
      </c>
      <c r="B124" s="9">
        <v>1</v>
      </c>
      <c r="C124" s="9">
        <v>4</v>
      </c>
      <c r="D124" s="9">
        <v>135</v>
      </c>
      <c r="E124" s="9">
        <v>254</v>
      </c>
      <c r="F124" s="9">
        <v>0</v>
      </c>
      <c r="G124" s="9">
        <v>2</v>
      </c>
      <c r="H124" s="9">
        <v>127</v>
      </c>
      <c r="I124" s="9">
        <v>0</v>
      </c>
      <c r="J124" s="9">
        <v>2.8</v>
      </c>
      <c r="K124" s="9">
        <v>2</v>
      </c>
      <c r="L124" s="9">
        <v>1</v>
      </c>
      <c r="M124" s="9">
        <v>7</v>
      </c>
      <c r="N124" s="9">
        <v>1</v>
      </c>
      <c r="O124" s="13">
        <f t="shared" si="7"/>
        <v>3.2115817774367663</v>
      </c>
      <c r="P124" s="13">
        <f t="shared" si="8"/>
        <v>0.96126780129038669</v>
      </c>
      <c r="Q124" s="13">
        <f t="shared" si="9"/>
        <v>1</v>
      </c>
      <c r="R124" s="13">
        <f t="shared" si="10"/>
        <v>0</v>
      </c>
      <c r="S124" s="13">
        <f t="shared" si="11"/>
        <v>0.96126780129038669</v>
      </c>
      <c r="T124" s="13">
        <f t="shared" si="12"/>
        <v>-3.9502239436084531E-2</v>
      </c>
    </row>
    <row r="125" spans="1:20" x14ac:dyDescent="0.3">
      <c r="A125" s="9">
        <v>48</v>
      </c>
      <c r="B125" s="9">
        <v>1</v>
      </c>
      <c r="C125" s="9">
        <v>4</v>
      </c>
      <c r="D125" s="9">
        <v>130</v>
      </c>
      <c r="E125" s="9">
        <v>256</v>
      </c>
      <c r="F125" s="9">
        <v>1</v>
      </c>
      <c r="G125" s="9">
        <v>2</v>
      </c>
      <c r="H125" s="9">
        <v>150</v>
      </c>
      <c r="I125" s="9">
        <v>1</v>
      </c>
      <c r="J125" s="9">
        <v>0</v>
      </c>
      <c r="K125" s="9">
        <v>1</v>
      </c>
      <c r="L125" s="9">
        <v>2</v>
      </c>
      <c r="M125" s="9">
        <v>7</v>
      </c>
      <c r="N125" s="9">
        <v>1</v>
      </c>
      <c r="O125" s="13">
        <f t="shared" si="7"/>
        <v>2.7761440130498727</v>
      </c>
      <c r="P125" s="13">
        <f t="shared" si="8"/>
        <v>0.9413729948400551</v>
      </c>
      <c r="Q125" s="13">
        <f t="shared" si="9"/>
        <v>1</v>
      </c>
      <c r="R125" s="13">
        <f t="shared" si="10"/>
        <v>0</v>
      </c>
      <c r="S125" s="13">
        <f t="shared" si="11"/>
        <v>0.9413729948400551</v>
      </c>
      <c r="T125" s="13">
        <f t="shared" si="12"/>
        <v>-6.0415836596027381E-2</v>
      </c>
    </row>
    <row r="126" spans="1:20" x14ac:dyDescent="0.3">
      <c r="A126" s="9">
        <v>63</v>
      </c>
      <c r="B126" s="9">
        <v>0</v>
      </c>
      <c r="C126" s="9">
        <v>4</v>
      </c>
      <c r="D126" s="9">
        <v>150</v>
      </c>
      <c r="E126" s="9">
        <v>407</v>
      </c>
      <c r="F126" s="9">
        <v>0</v>
      </c>
      <c r="G126" s="9">
        <v>2</v>
      </c>
      <c r="H126" s="9">
        <v>154</v>
      </c>
      <c r="I126" s="9">
        <v>0</v>
      </c>
      <c r="J126" s="9">
        <v>4</v>
      </c>
      <c r="K126" s="9">
        <v>2</v>
      </c>
      <c r="L126" s="9">
        <v>3</v>
      </c>
      <c r="M126" s="9">
        <v>7</v>
      </c>
      <c r="N126" s="9">
        <v>1</v>
      </c>
      <c r="O126" s="13">
        <f t="shared" si="7"/>
        <v>5.324677338438061</v>
      </c>
      <c r="P126" s="13">
        <f t="shared" si="8"/>
        <v>0.99515367910778174</v>
      </c>
      <c r="Q126" s="13">
        <f t="shared" si="9"/>
        <v>1</v>
      </c>
      <c r="R126" s="13">
        <f t="shared" si="10"/>
        <v>0</v>
      </c>
      <c r="S126" s="13">
        <f t="shared" si="11"/>
        <v>0.99515367910778174</v>
      </c>
      <c r="T126" s="13">
        <f t="shared" si="12"/>
        <v>-4.8581023853235157E-3</v>
      </c>
    </row>
    <row r="127" spans="1:20" x14ac:dyDescent="0.3">
      <c r="A127" s="9">
        <v>51</v>
      </c>
      <c r="B127" s="9">
        <v>1</v>
      </c>
      <c r="C127" s="9">
        <v>3</v>
      </c>
      <c r="D127" s="9">
        <v>100</v>
      </c>
      <c r="E127" s="9">
        <v>222</v>
      </c>
      <c r="F127" s="9">
        <v>0</v>
      </c>
      <c r="G127" s="9">
        <v>0</v>
      </c>
      <c r="H127" s="9">
        <v>143</v>
      </c>
      <c r="I127" s="9">
        <v>1</v>
      </c>
      <c r="J127" s="9">
        <v>1.2</v>
      </c>
      <c r="K127" s="9">
        <v>2</v>
      </c>
      <c r="L127" s="9">
        <v>0</v>
      </c>
      <c r="M127" s="9">
        <v>3</v>
      </c>
      <c r="N127" s="9">
        <v>0</v>
      </c>
      <c r="O127" s="13">
        <f t="shared" si="7"/>
        <v>-1.1010054698524314</v>
      </c>
      <c r="P127" s="13">
        <f t="shared" si="8"/>
        <v>0.2495515470492666</v>
      </c>
      <c r="Q127" s="13">
        <f t="shared" si="9"/>
        <v>0</v>
      </c>
      <c r="R127" s="13">
        <f t="shared" si="10"/>
        <v>0</v>
      </c>
      <c r="S127" s="13">
        <f t="shared" si="11"/>
        <v>0.75044845295073337</v>
      </c>
      <c r="T127" s="13">
        <f t="shared" si="12"/>
        <v>-0.28708431387739641</v>
      </c>
    </row>
    <row r="128" spans="1:20" x14ac:dyDescent="0.3">
      <c r="A128" s="9">
        <v>55</v>
      </c>
      <c r="B128" s="9">
        <v>1</v>
      </c>
      <c r="C128" s="9">
        <v>4</v>
      </c>
      <c r="D128" s="9">
        <v>140</v>
      </c>
      <c r="E128" s="9">
        <v>217</v>
      </c>
      <c r="F128" s="9">
        <v>0</v>
      </c>
      <c r="G128" s="9">
        <v>0</v>
      </c>
      <c r="H128" s="9">
        <v>111</v>
      </c>
      <c r="I128" s="9">
        <v>1</v>
      </c>
      <c r="J128" s="9">
        <v>5.6</v>
      </c>
      <c r="K128" s="9">
        <v>3</v>
      </c>
      <c r="L128" s="9">
        <v>0</v>
      </c>
      <c r="M128" s="9">
        <v>7</v>
      </c>
      <c r="N128" s="9">
        <v>1</v>
      </c>
      <c r="O128" s="13">
        <f t="shared" si="7"/>
        <v>4.050260205580086</v>
      </c>
      <c r="P128" s="13">
        <f t="shared" si="8"/>
        <v>0.98288034560233462</v>
      </c>
      <c r="Q128" s="13">
        <f t="shared" si="9"/>
        <v>1</v>
      </c>
      <c r="R128" s="13">
        <f t="shared" si="10"/>
        <v>0</v>
      </c>
      <c r="S128" s="13">
        <f t="shared" si="11"/>
        <v>0.98288034560233462</v>
      </c>
      <c r="T128" s="13">
        <f t="shared" si="12"/>
        <v>-1.7267889944476537E-2</v>
      </c>
    </row>
    <row r="129" spans="1:20" x14ac:dyDescent="0.3">
      <c r="A129" s="9">
        <v>65</v>
      </c>
      <c r="B129" s="9">
        <v>1</v>
      </c>
      <c r="C129" s="9">
        <v>1</v>
      </c>
      <c r="D129" s="9">
        <v>138</v>
      </c>
      <c r="E129" s="9">
        <v>282</v>
      </c>
      <c r="F129" s="9">
        <v>1</v>
      </c>
      <c r="G129" s="9">
        <v>2</v>
      </c>
      <c r="H129" s="9">
        <v>174</v>
      </c>
      <c r="I129" s="9">
        <v>0</v>
      </c>
      <c r="J129" s="9">
        <v>1.4</v>
      </c>
      <c r="K129" s="9">
        <v>2</v>
      </c>
      <c r="L129" s="9">
        <v>1</v>
      </c>
      <c r="M129" s="9">
        <v>3</v>
      </c>
      <c r="N129" s="9">
        <v>1</v>
      </c>
      <c r="O129" s="13">
        <f t="shared" si="7"/>
        <v>-2.0204043701891141</v>
      </c>
      <c r="P129" s="13">
        <f t="shared" si="8"/>
        <v>0.11707718460901712</v>
      </c>
      <c r="Q129" s="13">
        <f t="shared" si="9"/>
        <v>0</v>
      </c>
      <c r="R129" s="13">
        <f t="shared" si="10"/>
        <v>1</v>
      </c>
      <c r="S129" s="13">
        <f t="shared" si="11"/>
        <v>0.11707718460901712</v>
      </c>
      <c r="T129" s="13">
        <f t="shared" si="12"/>
        <v>-2.1449218641761654</v>
      </c>
    </row>
    <row r="130" spans="1:20" x14ac:dyDescent="0.3">
      <c r="A130" s="9">
        <v>45</v>
      </c>
      <c r="B130" s="9">
        <v>0</v>
      </c>
      <c r="C130" s="9">
        <v>2</v>
      </c>
      <c r="D130" s="9">
        <v>130</v>
      </c>
      <c r="E130" s="9">
        <v>234</v>
      </c>
      <c r="F130" s="9">
        <v>0</v>
      </c>
      <c r="G130" s="9">
        <v>2</v>
      </c>
      <c r="H130" s="9">
        <v>175</v>
      </c>
      <c r="I130" s="9">
        <v>0</v>
      </c>
      <c r="J130" s="9">
        <v>0.6</v>
      </c>
      <c r="K130" s="9">
        <v>2</v>
      </c>
      <c r="L130" s="9">
        <v>0</v>
      </c>
      <c r="M130" s="9">
        <v>3</v>
      </c>
      <c r="N130" s="9">
        <v>0</v>
      </c>
      <c r="O130" s="13">
        <f t="shared" si="7"/>
        <v>-3.3683533414271456</v>
      </c>
      <c r="P130" s="13">
        <f t="shared" si="8"/>
        <v>3.3299274775943438E-2</v>
      </c>
      <c r="Q130" s="13">
        <f t="shared" si="9"/>
        <v>0</v>
      </c>
      <c r="R130" s="13">
        <f t="shared" si="10"/>
        <v>0</v>
      </c>
      <c r="S130" s="13">
        <f t="shared" si="11"/>
        <v>0.96670072522405659</v>
      </c>
      <c r="T130" s="13">
        <f t="shared" si="12"/>
        <v>-3.3866319305945206E-2</v>
      </c>
    </row>
    <row r="131" spans="1:20" x14ac:dyDescent="0.3">
      <c r="A131" s="9">
        <v>56</v>
      </c>
      <c r="B131" s="9">
        <v>0</v>
      </c>
      <c r="C131" s="9">
        <v>4</v>
      </c>
      <c r="D131" s="9">
        <v>200</v>
      </c>
      <c r="E131" s="9">
        <v>288</v>
      </c>
      <c r="F131" s="9">
        <v>1</v>
      </c>
      <c r="G131" s="9">
        <v>2</v>
      </c>
      <c r="H131" s="9">
        <v>133</v>
      </c>
      <c r="I131" s="9">
        <v>1</v>
      </c>
      <c r="J131" s="9">
        <v>4</v>
      </c>
      <c r="K131" s="9">
        <v>3</v>
      </c>
      <c r="L131" s="9">
        <v>2</v>
      </c>
      <c r="M131" s="9">
        <v>7</v>
      </c>
      <c r="N131" s="9">
        <v>1</v>
      </c>
      <c r="O131" s="13">
        <f t="shared" si="7"/>
        <v>5.6729653742054129</v>
      </c>
      <c r="P131" s="13">
        <f t="shared" si="8"/>
        <v>0.9965741207852743</v>
      </c>
      <c r="Q131" s="13">
        <f t="shared" si="9"/>
        <v>1</v>
      </c>
      <c r="R131" s="13">
        <f t="shared" si="10"/>
        <v>0</v>
      </c>
      <c r="S131" s="13">
        <f t="shared" si="11"/>
        <v>0.9965741207852743</v>
      </c>
      <c r="T131" s="13">
        <f t="shared" si="12"/>
        <v>-3.431760976234456E-3</v>
      </c>
    </row>
    <row r="132" spans="1:20" x14ac:dyDescent="0.3">
      <c r="A132" s="9">
        <v>54</v>
      </c>
      <c r="B132" s="9">
        <v>1</v>
      </c>
      <c r="C132" s="9">
        <v>4</v>
      </c>
      <c r="D132" s="9">
        <v>110</v>
      </c>
      <c r="E132" s="9">
        <v>239</v>
      </c>
      <c r="F132" s="9">
        <v>0</v>
      </c>
      <c r="G132" s="9">
        <v>0</v>
      </c>
      <c r="H132" s="9">
        <v>126</v>
      </c>
      <c r="I132" s="9">
        <v>1</v>
      </c>
      <c r="J132" s="9">
        <v>2.8</v>
      </c>
      <c r="K132" s="9">
        <v>2</v>
      </c>
      <c r="L132" s="9">
        <v>1</v>
      </c>
      <c r="M132" s="9">
        <v>7</v>
      </c>
      <c r="N132" s="9">
        <v>1</v>
      </c>
      <c r="O132" s="13">
        <f t="shared" si="7"/>
        <v>3.1482288860632881</v>
      </c>
      <c r="P132" s="13">
        <f t="shared" si="8"/>
        <v>0.95883887822860192</v>
      </c>
      <c r="Q132" s="13">
        <f t="shared" si="9"/>
        <v>1</v>
      </c>
      <c r="R132" s="13">
        <f t="shared" si="10"/>
        <v>0</v>
      </c>
      <c r="S132" s="13">
        <f t="shared" si="11"/>
        <v>0.95883887822860192</v>
      </c>
      <c r="T132" s="13">
        <f t="shared" si="12"/>
        <v>-4.2032228403145057E-2</v>
      </c>
    </row>
    <row r="133" spans="1:20" x14ac:dyDescent="0.3">
      <c r="A133" s="9">
        <v>44</v>
      </c>
      <c r="B133" s="9">
        <v>1</v>
      </c>
      <c r="C133" s="9">
        <v>2</v>
      </c>
      <c r="D133" s="9">
        <v>120</v>
      </c>
      <c r="E133" s="9">
        <v>220</v>
      </c>
      <c r="F133" s="9">
        <v>0</v>
      </c>
      <c r="G133" s="9">
        <v>0</v>
      </c>
      <c r="H133" s="9">
        <v>170</v>
      </c>
      <c r="I133" s="9">
        <v>0</v>
      </c>
      <c r="J133" s="9">
        <v>0</v>
      </c>
      <c r="K133" s="9">
        <v>1</v>
      </c>
      <c r="L133" s="9">
        <v>0</v>
      </c>
      <c r="M133" s="9">
        <v>3</v>
      </c>
      <c r="N133" s="9">
        <v>0</v>
      </c>
      <c r="O133" s="13">
        <f t="shared" si="7"/>
        <v>-3.4580041807363626</v>
      </c>
      <c r="P133" s="13">
        <f t="shared" si="8"/>
        <v>3.0531052014478696E-2</v>
      </c>
      <c r="Q133" s="13">
        <f t="shared" si="9"/>
        <v>0</v>
      </c>
      <c r="R133" s="13">
        <f t="shared" si="10"/>
        <v>0</v>
      </c>
      <c r="S133" s="13">
        <f t="shared" si="11"/>
        <v>0.9694689479855213</v>
      </c>
      <c r="T133" s="13">
        <f t="shared" si="12"/>
        <v>-3.100683370816721E-2</v>
      </c>
    </row>
    <row r="134" spans="1:20" x14ac:dyDescent="0.3">
      <c r="A134" s="9">
        <v>62</v>
      </c>
      <c r="B134" s="9">
        <v>0</v>
      </c>
      <c r="C134" s="9">
        <v>4</v>
      </c>
      <c r="D134" s="9">
        <v>124</v>
      </c>
      <c r="E134" s="9">
        <v>209</v>
      </c>
      <c r="F134" s="9">
        <v>0</v>
      </c>
      <c r="G134" s="9">
        <v>0</v>
      </c>
      <c r="H134" s="9">
        <v>163</v>
      </c>
      <c r="I134" s="9">
        <v>0</v>
      </c>
      <c r="J134" s="9">
        <v>0</v>
      </c>
      <c r="K134" s="9">
        <v>1</v>
      </c>
      <c r="L134" s="9">
        <v>0</v>
      </c>
      <c r="M134" s="9">
        <v>3</v>
      </c>
      <c r="N134" s="9">
        <v>0</v>
      </c>
      <c r="O134" s="13">
        <f t="shared" si="7"/>
        <v>-3.6871531238368198</v>
      </c>
      <c r="P134" s="13">
        <f t="shared" si="8"/>
        <v>2.4431356298211301E-2</v>
      </c>
      <c r="Q134" s="13">
        <f t="shared" si="9"/>
        <v>0</v>
      </c>
      <c r="R134" s="13">
        <f t="shared" si="10"/>
        <v>0</v>
      </c>
      <c r="S134" s="13">
        <f t="shared" si="11"/>
        <v>0.97556864370178875</v>
      </c>
      <c r="T134" s="13">
        <f t="shared" si="12"/>
        <v>-2.4734753683961441E-2</v>
      </c>
    </row>
    <row r="135" spans="1:20" x14ac:dyDescent="0.3">
      <c r="A135" s="9">
        <v>54</v>
      </c>
      <c r="B135" s="9">
        <v>1</v>
      </c>
      <c r="C135" s="9">
        <v>3</v>
      </c>
      <c r="D135" s="9">
        <v>120</v>
      </c>
      <c r="E135" s="9">
        <v>258</v>
      </c>
      <c r="F135" s="9">
        <v>0</v>
      </c>
      <c r="G135" s="9">
        <v>2</v>
      </c>
      <c r="H135" s="9">
        <v>147</v>
      </c>
      <c r="I135" s="9">
        <v>0</v>
      </c>
      <c r="J135" s="9">
        <v>0.4</v>
      </c>
      <c r="K135" s="9">
        <v>2</v>
      </c>
      <c r="L135" s="9">
        <v>0</v>
      </c>
      <c r="M135" s="9">
        <v>7</v>
      </c>
      <c r="N135" s="9">
        <v>0</v>
      </c>
      <c r="O135" s="13">
        <f t="shared" ref="O135:O198" si="13">SUMPRODUCT(A$4:M$4, A135:M135)+N$4</f>
        <v>0.17626578270322213</v>
      </c>
      <c r="P135" s="13">
        <f t="shared" ref="P135:P198" si="14">1/(1+EXP(0-O135))</f>
        <v>0.54395270505119142</v>
      </c>
      <c r="Q135" s="13">
        <f t="shared" ref="Q135:Q198" si="15">IF(P135&lt;=0.5, 0, 1)</f>
        <v>1</v>
      </c>
      <c r="R135" s="13">
        <f t="shared" ref="R135:R198" si="16">IF(N135=Q135, 0, 1)</f>
        <v>1</v>
      </c>
      <c r="S135" s="13">
        <f t="shared" ref="S135:S198" si="17">IF(N135=1, P135, 1-P135)</f>
        <v>0.45604729494880858</v>
      </c>
      <c r="T135" s="13">
        <f t="shared" ref="T135:T198" si="18">IF(S135=0, -100000, LN(S135))</f>
        <v>-0.78515875785298517</v>
      </c>
    </row>
    <row r="136" spans="1:20" x14ac:dyDescent="0.3">
      <c r="A136" s="9">
        <v>51</v>
      </c>
      <c r="B136" s="9">
        <v>1</v>
      </c>
      <c r="C136" s="9">
        <v>3</v>
      </c>
      <c r="D136" s="9">
        <v>94</v>
      </c>
      <c r="E136" s="9">
        <v>227</v>
      </c>
      <c r="F136" s="9">
        <v>0</v>
      </c>
      <c r="G136" s="9">
        <v>0</v>
      </c>
      <c r="H136" s="9">
        <v>154</v>
      </c>
      <c r="I136" s="9">
        <v>1</v>
      </c>
      <c r="J136" s="9">
        <v>0</v>
      </c>
      <c r="K136" s="9">
        <v>1</v>
      </c>
      <c r="L136" s="9">
        <v>1</v>
      </c>
      <c r="M136" s="9">
        <v>7</v>
      </c>
      <c r="N136" s="9">
        <v>0</v>
      </c>
      <c r="O136" s="13">
        <f t="shared" si="13"/>
        <v>0.32909394875726861</v>
      </c>
      <c r="P136" s="13">
        <f t="shared" si="14"/>
        <v>0.58153890430027289</v>
      </c>
      <c r="Q136" s="13">
        <f t="shared" si="15"/>
        <v>1</v>
      </c>
      <c r="R136" s="13">
        <f t="shared" si="16"/>
        <v>1</v>
      </c>
      <c r="S136" s="13">
        <f t="shared" si="17"/>
        <v>0.41846109569972711</v>
      </c>
      <c r="T136" s="13">
        <f t="shared" si="18"/>
        <v>-0.87117135466475026</v>
      </c>
    </row>
    <row r="137" spans="1:20" x14ac:dyDescent="0.3">
      <c r="A137" s="9">
        <v>29</v>
      </c>
      <c r="B137" s="9">
        <v>1</v>
      </c>
      <c r="C137" s="9">
        <v>2</v>
      </c>
      <c r="D137" s="9">
        <v>130</v>
      </c>
      <c r="E137" s="9">
        <v>204</v>
      </c>
      <c r="F137" s="9">
        <v>0</v>
      </c>
      <c r="G137" s="9">
        <v>2</v>
      </c>
      <c r="H137" s="9">
        <v>202</v>
      </c>
      <c r="I137" s="9">
        <v>0</v>
      </c>
      <c r="J137" s="9">
        <v>0</v>
      </c>
      <c r="K137" s="9">
        <v>1</v>
      </c>
      <c r="L137" s="9">
        <v>0</v>
      </c>
      <c r="M137" s="9">
        <v>3</v>
      </c>
      <c r="N137" s="9">
        <v>0</v>
      </c>
      <c r="O137" s="13">
        <f t="shared" si="13"/>
        <v>-3.2563594302743226</v>
      </c>
      <c r="P137" s="13">
        <f t="shared" si="14"/>
        <v>3.7099041346455267E-2</v>
      </c>
      <c r="Q137" s="13">
        <f t="shared" si="15"/>
        <v>0</v>
      </c>
      <c r="R137" s="13">
        <f t="shared" si="16"/>
        <v>0</v>
      </c>
      <c r="S137" s="13">
        <f t="shared" si="17"/>
        <v>0.96290095865354475</v>
      </c>
      <c r="T137" s="13">
        <f t="shared" si="18"/>
        <v>-3.7804719146463196E-2</v>
      </c>
    </row>
    <row r="138" spans="1:20" x14ac:dyDescent="0.3">
      <c r="A138" s="9">
        <v>51</v>
      </c>
      <c r="B138" s="9">
        <v>1</v>
      </c>
      <c r="C138" s="9">
        <v>4</v>
      </c>
      <c r="D138" s="9">
        <v>140</v>
      </c>
      <c r="E138" s="9">
        <v>261</v>
      </c>
      <c r="F138" s="9">
        <v>0</v>
      </c>
      <c r="G138" s="9">
        <v>2</v>
      </c>
      <c r="H138" s="9">
        <v>186</v>
      </c>
      <c r="I138" s="9">
        <v>1</v>
      </c>
      <c r="J138" s="9">
        <v>0</v>
      </c>
      <c r="K138" s="9">
        <v>1</v>
      </c>
      <c r="L138" s="9">
        <v>0</v>
      </c>
      <c r="M138" s="9">
        <v>3</v>
      </c>
      <c r="N138" s="9">
        <v>0</v>
      </c>
      <c r="O138" s="13">
        <f t="shared" si="13"/>
        <v>-0.63591166170395574</v>
      </c>
      <c r="P138" s="13">
        <f t="shared" si="14"/>
        <v>0.34617129764406884</v>
      </c>
      <c r="Q138" s="13">
        <f t="shared" si="15"/>
        <v>0</v>
      </c>
      <c r="R138" s="13">
        <f t="shared" si="16"/>
        <v>0</v>
      </c>
      <c r="S138" s="13">
        <f t="shared" si="17"/>
        <v>0.65382870235593116</v>
      </c>
      <c r="T138" s="13">
        <f t="shared" si="18"/>
        <v>-0.42490988483592229</v>
      </c>
    </row>
    <row r="139" spans="1:20" x14ac:dyDescent="0.3">
      <c r="A139" s="9">
        <v>43</v>
      </c>
      <c r="B139" s="9">
        <v>0</v>
      </c>
      <c r="C139" s="9">
        <v>3</v>
      </c>
      <c r="D139" s="9">
        <v>122</v>
      </c>
      <c r="E139" s="9">
        <v>213</v>
      </c>
      <c r="F139" s="9">
        <v>0</v>
      </c>
      <c r="G139" s="9">
        <v>0</v>
      </c>
      <c r="H139" s="9">
        <v>165</v>
      </c>
      <c r="I139" s="9">
        <v>0</v>
      </c>
      <c r="J139" s="9">
        <v>0.2</v>
      </c>
      <c r="K139" s="9">
        <v>2</v>
      </c>
      <c r="L139" s="9">
        <v>0</v>
      </c>
      <c r="M139" s="9">
        <v>3</v>
      </c>
      <c r="N139" s="9">
        <v>0</v>
      </c>
      <c r="O139" s="13">
        <f t="shared" si="13"/>
        <v>-3.4436941875435099</v>
      </c>
      <c r="P139" s="13">
        <f t="shared" si="14"/>
        <v>3.0957469608716266E-2</v>
      </c>
      <c r="Q139" s="13">
        <f t="shared" si="15"/>
        <v>0</v>
      </c>
      <c r="R139" s="13">
        <f t="shared" si="16"/>
        <v>0</v>
      </c>
      <c r="S139" s="13">
        <f t="shared" si="17"/>
        <v>0.96904253039128374</v>
      </c>
      <c r="T139" s="13">
        <f t="shared" si="18"/>
        <v>-3.1446777041876414E-2</v>
      </c>
    </row>
    <row r="140" spans="1:20" x14ac:dyDescent="0.3">
      <c r="A140" s="9">
        <v>55</v>
      </c>
      <c r="B140" s="9">
        <v>0</v>
      </c>
      <c r="C140" s="9">
        <v>2</v>
      </c>
      <c r="D140" s="9">
        <v>135</v>
      </c>
      <c r="E140" s="9">
        <v>250</v>
      </c>
      <c r="F140" s="9">
        <v>0</v>
      </c>
      <c r="G140" s="9">
        <v>2</v>
      </c>
      <c r="H140" s="9">
        <v>161</v>
      </c>
      <c r="I140" s="9">
        <v>0</v>
      </c>
      <c r="J140" s="9">
        <v>1.4</v>
      </c>
      <c r="K140" s="9">
        <v>2</v>
      </c>
      <c r="L140" s="9">
        <v>0</v>
      </c>
      <c r="M140" s="9">
        <v>3</v>
      </c>
      <c r="N140" s="9">
        <v>0</v>
      </c>
      <c r="O140" s="13">
        <f t="shared" si="13"/>
        <v>-2.8227277752854132</v>
      </c>
      <c r="P140" s="13">
        <f t="shared" si="14"/>
        <v>5.6108295129159422E-2</v>
      </c>
      <c r="Q140" s="13">
        <f t="shared" si="15"/>
        <v>0</v>
      </c>
      <c r="R140" s="13">
        <f t="shared" si="16"/>
        <v>0</v>
      </c>
      <c r="S140" s="13">
        <f t="shared" si="17"/>
        <v>0.94389170487084062</v>
      </c>
      <c r="T140" s="13">
        <f t="shared" si="18"/>
        <v>-5.774383883389432E-2</v>
      </c>
    </row>
    <row r="141" spans="1:20" x14ac:dyDescent="0.3">
      <c r="A141" s="9">
        <v>70</v>
      </c>
      <c r="B141" s="9">
        <v>1</v>
      </c>
      <c r="C141" s="9">
        <v>4</v>
      </c>
      <c r="D141" s="9">
        <v>145</v>
      </c>
      <c r="E141" s="9">
        <v>174</v>
      </c>
      <c r="F141" s="9">
        <v>0</v>
      </c>
      <c r="G141" s="9">
        <v>0</v>
      </c>
      <c r="H141" s="9">
        <v>125</v>
      </c>
      <c r="I141" s="9">
        <v>1</v>
      </c>
      <c r="J141" s="9">
        <v>2.6</v>
      </c>
      <c r="K141" s="9">
        <v>3</v>
      </c>
      <c r="L141" s="9">
        <v>0</v>
      </c>
      <c r="M141" s="9">
        <v>7</v>
      </c>
      <c r="N141" s="9">
        <v>1</v>
      </c>
      <c r="O141" s="13">
        <f t="shared" si="13"/>
        <v>2.7112905722604808</v>
      </c>
      <c r="P141" s="13">
        <f t="shared" si="14"/>
        <v>0.93768959654776429</v>
      </c>
      <c r="Q141" s="13">
        <f t="shared" si="15"/>
        <v>1</v>
      </c>
      <c r="R141" s="13">
        <f t="shared" si="16"/>
        <v>0</v>
      </c>
      <c r="S141" s="13">
        <f t="shared" si="17"/>
        <v>0.93768959654776429</v>
      </c>
      <c r="T141" s="13">
        <f t="shared" si="18"/>
        <v>-6.4336305266963309E-2</v>
      </c>
    </row>
    <row r="142" spans="1:20" x14ac:dyDescent="0.3">
      <c r="A142" s="9">
        <v>62</v>
      </c>
      <c r="B142" s="9">
        <v>1</v>
      </c>
      <c r="C142" s="9">
        <v>2</v>
      </c>
      <c r="D142" s="9">
        <v>120</v>
      </c>
      <c r="E142" s="9">
        <v>281</v>
      </c>
      <c r="F142" s="9">
        <v>0</v>
      </c>
      <c r="G142" s="9">
        <v>2</v>
      </c>
      <c r="H142" s="9">
        <v>103</v>
      </c>
      <c r="I142" s="9">
        <v>0</v>
      </c>
      <c r="J142" s="9">
        <v>1.4</v>
      </c>
      <c r="K142" s="9">
        <v>2</v>
      </c>
      <c r="L142" s="9">
        <v>1</v>
      </c>
      <c r="M142" s="9">
        <v>7</v>
      </c>
      <c r="N142" s="9">
        <v>1</v>
      </c>
      <c r="O142" s="13">
        <f t="shared" si="13"/>
        <v>2.0272691824501816</v>
      </c>
      <c r="P142" s="13">
        <f t="shared" si="14"/>
        <v>0.88363056859519851</v>
      </c>
      <c r="Q142" s="13">
        <f t="shared" si="15"/>
        <v>1</v>
      </c>
      <c r="R142" s="13">
        <f t="shared" si="16"/>
        <v>0</v>
      </c>
      <c r="S142" s="13">
        <f t="shared" si="17"/>
        <v>0.88363056859519851</v>
      </c>
      <c r="T142" s="13">
        <f t="shared" si="18"/>
        <v>-0.12371621252168583</v>
      </c>
    </row>
    <row r="143" spans="1:20" x14ac:dyDescent="0.3">
      <c r="A143" s="9">
        <v>35</v>
      </c>
      <c r="B143" s="9">
        <v>1</v>
      </c>
      <c r="C143" s="9">
        <v>4</v>
      </c>
      <c r="D143" s="9">
        <v>120</v>
      </c>
      <c r="E143" s="9">
        <v>198</v>
      </c>
      <c r="F143" s="9">
        <v>0</v>
      </c>
      <c r="G143" s="9">
        <v>0</v>
      </c>
      <c r="H143" s="9">
        <v>130</v>
      </c>
      <c r="I143" s="9">
        <v>1</v>
      </c>
      <c r="J143" s="9">
        <v>1.6</v>
      </c>
      <c r="K143" s="9">
        <v>2</v>
      </c>
      <c r="L143" s="9">
        <v>0</v>
      </c>
      <c r="M143" s="9">
        <v>7</v>
      </c>
      <c r="N143" s="9">
        <v>1</v>
      </c>
      <c r="O143" s="13">
        <f t="shared" si="13"/>
        <v>1.8064378467532585</v>
      </c>
      <c r="P143" s="13">
        <f t="shared" si="14"/>
        <v>0.8589308044747781</v>
      </c>
      <c r="Q143" s="13">
        <f t="shared" si="15"/>
        <v>1</v>
      </c>
      <c r="R143" s="13">
        <f t="shared" si="16"/>
        <v>0</v>
      </c>
      <c r="S143" s="13">
        <f t="shared" si="17"/>
        <v>0.8589308044747781</v>
      </c>
      <c r="T143" s="13">
        <f t="shared" si="18"/>
        <v>-0.15206691382249776</v>
      </c>
    </row>
    <row r="144" spans="1:20" x14ac:dyDescent="0.3">
      <c r="A144" s="9">
        <v>51</v>
      </c>
      <c r="B144" s="9">
        <v>1</v>
      </c>
      <c r="C144" s="9">
        <v>3</v>
      </c>
      <c r="D144" s="9">
        <v>125</v>
      </c>
      <c r="E144" s="9">
        <v>245</v>
      </c>
      <c r="F144" s="9">
        <v>1</v>
      </c>
      <c r="G144" s="9">
        <v>2</v>
      </c>
      <c r="H144" s="9">
        <v>166</v>
      </c>
      <c r="I144" s="9">
        <v>0</v>
      </c>
      <c r="J144" s="9">
        <v>2.4</v>
      </c>
      <c r="K144" s="9">
        <v>2</v>
      </c>
      <c r="L144" s="9">
        <v>0</v>
      </c>
      <c r="M144" s="9">
        <v>3</v>
      </c>
      <c r="N144" s="9">
        <v>0</v>
      </c>
      <c r="O144" s="13">
        <f t="shared" si="13"/>
        <v>-2.0216111882290644</v>
      </c>
      <c r="P144" s="13">
        <f t="shared" si="14"/>
        <v>0.11695249332372398</v>
      </c>
      <c r="Q144" s="13">
        <f t="shared" si="15"/>
        <v>0</v>
      </c>
      <c r="R144" s="13">
        <f t="shared" si="16"/>
        <v>0</v>
      </c>
      <c r="S144" s="13">
        <f t="shared" si="17"/>
        <v>0.88304750667627596</v>
      </c>
      <c r="T144" s="13">
        <f t="shared" si="18"/>
        <v>-0.12437627838003676</v>
      </c>
    </row>
    <row r="145" spans="1:20" x14ac:dyDescent="0.3">
      <c r="A145" s="9">
        <v>59</v>
      </c>
      <c r="B145" s="9">
        <v>1</v>
      </c>
      <c r="C145" s="9">
        <v>2</v>
      </c>
      <c r="D145" s="9">
        <v>140</v>
      </c>
      <c r="E145" s="9">
        <v>221</v>
      </c>
      <c r="F145" s="9">
        <v>0</v>
      </c>
      <c r="G145" s="9">
        <v>0</v>
      </c>
      <c r="H145" s="9">
        <v>164</v>
      </c>
      <c r="I145" s="9">
        <v>1</v>
      </c>
      <c r="J145" s="9">
        <v>0</v>
      </c>
      <c r="K145" s="9">
        <v>1</v>
      </c>
      <c r="L145" s="9">
        <v>0</v>
      </c>
      <c r="M145" s="9">
        <v>3</v>
      </c>
      <c r="N145" s="9">
        <v>0</v>
      </c>
      <c r="O145" s="13">
        <f t="shared" si="13"/>
        <v>-2.135477444221312</v>
      </c>
      <c r="P145" s="13">
        <f t="shared" si="14"/>
        <v>0.10569611992163931</v>
      </c>
      <c r="Q145" s="13">
        <f t="shared" si="15"/>
        <v>0</v>
      </c>
      <c r="R145" s="13">
        <f t="shared" si="16"/>
        <v>0</v>
      </c>
      <c r="S145" s="13">
        <f t="shared" si="17"/>
        <v>0.8943038800783607</v>
      </c>
      <c r="T145" s="13">
        <f t="shared" si="18"/>
        <v>-0.11170965096295081</v>
      </c>
    </row>
    <row r="146" spans="1:20" x14ac:dyDescent="0.3">
      <c r="A146" s="9">
        <v>59</v>
      </c>
      <c r="B146" s="9">
        <v>1</v>
      </c>
      <c r="C146" s="9">
        <v>1</v>
      </c>
      <c r="D146" s="9">
        <v>170</v>
      </c>
      <c r="E146" s="9">
        <v>288</v>
      </c>
      <c r="F146" s="9">
        <v>0</v>
      </c>
      <c r="G146" s="9">
        <v>2</v>
      </c>
      <c r="H146" s="9">
        <v>159</v>
      </c>
      <c r="I146" s="9">
        <v>0</v>
      </c>
      <c r="J146" s="9">
        <v>0.2</v>
      </c>
      <c r="K146" s="9">
        <v>2</v>
      </c>
      <c r="L146" s="9">
        <v>0</v>
      </c>
      <c r="M146" s="9">
        <v>7</v>
      </c>
      <c r="N146" s="9">
        <v>1</v>
      </c>
      <c r="O146" s="13">
        <f t="shared" si="13"/>
        <v>6.6275368462456186E-3</v>
      </c>
      <c r="P146" s="13">
        <f t="shared" si="14"/>
        <v>0.50165687814680582</v>
      </c>
      <c r="Q146" s="13">
        <f t="shared" si="15"/>
        <v>1</v>
      </c>
      <c r="R146" s="13">
        <f t="shared" si="16"/>
        <v>0</v>
      </c>
      <c r="S146" s="13">
        <f t="shared" si="17"/>
        <v>0.50165687814680582</v>
      </c>
      <c r="T146" s="13">
        <f t="shared" si="18"/>
        <v>-0.68983890265735481</v>
      </c>
    </row>
    <row r="147" spans="1:20" x14ac:dyDescent="0.3">
      <c r="A147" s="9">
        <v>52</v>
      </c>
      <c r="B147" s="9">
        <v>1</v>
      </c>
      <c r="C147" s="9">
        <v>2</v>
      </c>
      <c r="D147" s="9">
        <v>128</v>
      </c>
      <c r="E147" s="9">
        <v>205</v>
      </c>
      <c r="F147" s="9">
        <v>1</v>
      </c>
      <c r="G147" s="9">
        <v>0</v>
      </c>
      <c r="H147" s="9">
        <v>184</v>
      </c>
      <c r="I147" s="9">
        <v>0</v>
      </c>
      <c r="J147" s="9">
        <v>0</v>
      </c>
      <c r="K147" s="9">
        <v>1</v>
      </c>
      <c r="L147" s="9">
        <v>0</v>
      </c>
      <c r="M147" s="9">
        <v>3</v>
      </c>
      <c r="N147" s="9">
        <v>0</v>
      </c>
      <c r="O147" s="13">
        <f t="shared" si="13"/>
        <v>-4.7653112285576862</v>
      </c>
      <c r="P147" s="13">
        <f t="shared" si="14"/>
        <v>8.4482549621035258E-3</v>
      </c>
      <c r="Q147" s="13">
        <f t="shared" si="15"/>
        <v>0</v>
      </c>
      <c r="R147" s="13">
        <f t="shared" si="16"/>
        <v>0</v>
      </c>
      <c r="S147" s="13">
        <f t="shared" si="17"/>
        <v>0.99155174503789645</v>
      </c>
      <c r="T147" s="13">
        <f t="shared" si="18"/>
        <v>-8.4841437427182424E-3</v>
      </c>
    </row>
    <row r="148" spans="1:20" x14ac:dyDescent="0.3">
      <c r="A148" s="9">
        <v>64</v>
      </c>
      <c r="B148" s="9">
        <v>1</v>
      </c>
      <c r="C148" s="9">
        <v>3</v>
      </c>
      <c r="D148" s="9">
        <v>125</v>
      </c>
      <c r="E148" s="9">
        <v>309</v>
      </c>
      <c r="F148" s="9">
        <v>0</v>
      </c>
      <c r="G148" s="9">
        <v>0</v>
      </c>
      <c r="H148" s="9">
        <v>131</v>
      </c>
      <c r="I148" s="9">
        <v>1</v>
      </c>
      <c r="J148" s="9">
        <v>1.8</v>
      </c>
      <c r="K148" s="9">
        <v>2</v>
      </c>
      <c r="L148" s="9">
        <v>0</v>
      </c>
      <c r="M148" s="9">
        <v>7</v>
      </c>
      <c r="N148" s="9">
        <v>1</v>
      </c>
      <c r="O148" s="13">
        <f t="shared" si="13"/>
        <v>1.5213073427319479</v>
      </c>
      <c r="P148" s="13">
        <f t="shared" si="14"/>
        <v>0.82073091278764676</v>
      </c>
      <c r="Q148" s="13">
        <f t="shared" si="15"/>
        <v>1</v>
      </c>
      <c r="R148" s="13">
        <f t="shared" si="16"/>
        <v>0</v>
      </c>
      <c r="S148" s="13">
        <f t="shared" si="17"/>
        <v>0.82073091278764676</v>
      </c>
      <c r="T148" s="13">
        <f t="shared" si="18"/>
        <v>-0.19755997868852643</v>
      </c>
    </row>
    <row r="149" spans="1:20" x14ac:dyDescent="0.3">
      <c r="A149" s="9">
        <v>58</v>
      </c>
      <c r="B149" s="9">
        <v>1</v>
      </c>
      <c r="C149" s="9">
        <v>3</v>
      </c>
      <c r="D149" s="9">
        <v>105</v>
      </c>
      <c r="E149" s="9">
        <v>240</v>
      </c>
      <c r="F149" s="9">
        <v>0</v>
      </c>
      <c r="G149" s="9">
        <v>2</v>
      </c>
      <c r="H149" s="9">
        <v>154</v>
      </c>
      <c r="I149" s="9">
        <v>1</v>
      </c>
      <c r="J149" s="9">
        <v>0.6</v>
      </c>
      <c r="K149" s="9">
        <v>2</v>
      </c>
      <c r="L149" s="9">
        <v>0</v>
      </c>
      <c r="M149" s="9">
        <v>7</v>
      </c>
      <c r="N149" s="9">
        <v>0</v>
      </c>
      <c r="O149" s="13">
        <f t="shared" si="13"/>
        <v>0.49987447161432641</v>
      </c>
      <c r="P149" s="13">
        <f t="shared" si="14"/>
        <v>0.6224298311117944</v>
      </c>
      <c r="Q149" s="13">
        <f t="shared" si="15"/>
        <v>1</v>
      </c>
      <c r="R149" s="13">
        <f t="shared" si="16"/>
        <v>1</v>
      </c>
      <c r="S149" s="13">
        <f t="shared" si="17"/>
        <v>0.3775701688882056</v>
      </c>
      <c r="T149" s="13">
        <f t="shared" si="18"/>
        <v>-0.9739988497166534</v>
      </c>
    </row>
    <row r="150" spans="1:20" x14ac:dyDescent="0.3">
      <c r="A150" s="9">
        <v>47</v>
      </c>
      <c r="B150" s="9">
        <v>1</v>
      </c>
      <c r="C150" s="9">
        <v>3</v>
      </c>
      <c r="D150" s="9">
        <v>108</v>
      </c>
      <c r="E150" s="9">
        <v>243</v>
      </c>
      <c r="F150" s="9">
        <v>0</v>
      </c>
      <c r="G150" s="9">
        <v>0</v>
      </c>
      <c r="H150" s="9">
        <v>152</v>
      </c>
      <c r="I150" s="9">
        <v>0</v>
      </c>
      <c r="J150" s="9">
        <v>0</v>
      </c>
      <c r="K150" s="9">
        <v>1</v>
      </c>
      <c r="L150" s="9">
        <v>0</v>
      </c>
      <c r="M150" s="9">
        <v>3</v>
      </c>
      <c r="N150" s="9">
        <v>1</v>
      </c>
      <c r="O150" s="13">
        <f t="shared" si="13"/>
        <v>-2.725971205295747</v>
      </c>
      <c r="P150" s="13">
        <f t="shared" si="14"/>
        <v>6.1458137702440373E-2</v>
      </c>
      <c r="Q150" s="13">
        <f t="shared" si="15"/>
        <v>0</v>
      </c>
      <c r="R150" s="13">
        <f t="shared" si="16"/>
        <v>1</v>
      </c>
      <c r="S150" s="13">
        <f t="shared" si="17"/>
        <v>6.1458137702440373E-2</v>
      </c>
      <c r="T150" s="13">
        <f t="shared" si="18"/>
        <v>-2.7893990237079618</v>
      </c>
    </row>
    <row r="151" spans="1:20" x14ac:dyDescent="0.3">
      <c r="A151" s="9">
        <v>57</v>
      </c>
      <c r="B151" s="9">
        <v>1</v>
      </c>
      <c r="C151" s="9">
        <v>4</v>
      </c>
      <c r="D151" s="9">
        <v>165</v>
      </c>
      <c r="E151" s="9">
        <v>289</v>
      </c>
      <c r="F151" s="9">
        <v>1</v>
      </c>
      <c r="G151" s="9">
        <v>2</v>
      </c>
      <c r="H151" s="9">
        <v>124</v>
      </c>
      <c r="I151" s="9">
        <v>0</v>
      </c>
      <c r="J151" s="9">
        <v>1</v>
      </c>
      <c r="K151" s="9">
        <v>2</v>
      </c>
      <c r="L151" s="9">
        <v>3</v>
      </c>
      <c r="M151" s="9">
        <v>7</v>
      </c>
      <c r="N151" s="9">
        <v>1</v>
      </c>
      <c r="O151" s="13">
        <f t="shared" si="13"/>
        <v>5.3505782108010695</v>
      </c>
      <c r="P151" s="13">
        <f t="shared" si="14"/>
        <v>0.99527700616420556</v>
      </c>
      <c r="Q151" s="13">
        <f t="shared" si="15"/>
        <v>1</v>
      </c>
      <c r="R151" s="13">
        <f t="shared" si="16"/>
        <v>0</v>
      </c>
      <c r="S151" s="13">
        <f t="shared" si="17"/>
        <v>0.99527700616420556</v>
      </c>
      <c r="T151" s="13">
        <f t="shared" si="18"/>
        <v>-4.7341824141392064E-3</v>
      </c>
    </row>
    <row r="152" spans="1:20" x14ac:dyDescent="0.3">
      <c r="A152" s="9">
        <v>41</v>
      </c>
      <c r="B152" s="9">
        <v>1</v>
      </c>
      <c r="C152" s="9">
        <v>3</v>
      </c>
      <c r="D152" s="9">
        <v>112</v>
      </c>
      <c r="E152" s="9">
        <v>250</v>
      </c>
      <c r="F152" s="9">
        <v>0</v>
      </c>
      <c r="G152" s="9">
        <v>0</v>
      </c>
      <c r="H152" s="9">
        <v>179</v>
      </c>
      <c r="I152" s="9">
        <v>0</v>
      </c>
      <c r="J152" s="9">
        <v>0</v>
      </c>
      <c r="K152" s="9">
        <v>1</v>
      </c>
      <c r="L152" s="9">
        <v>0</v>
      </c>
      <c r="M152" s="9">
        <v>3</v>
      </c>
      <c r="N152" s="9">
        <v>0</v>
      </c>
      <c r="O152" s="13">
        <f t="shared" si="13"/>
        <v>-3.0686571049591045</v>
      </c>
      <c r="P152" s="13">
        <f t="shared" si="14"/>
        <v>4.4418792934998202E-2</v>
      </c>
      <c r="Q152" s="13">
        <f t="shared" si="15"/>
        <v>0</v>
      </c>
      <c r="R152" s="13">
        <f t="shared" si="16"/>
        <v>0</v>
      </c>
      <c r="S152" s="13">
        <f t="shared" si="17"/>
        <v>0.95558120706500183</v>
      </c>
      <c r="T152" s="13">
        <f t="shared" si="18"/>
        <v>-4.5435529834158349E-2</v>
      </c>
    </row>
    <row r="153" spans="1:20" x14ac:dyDescent="0.3">
      <c r="A153" s="9">
        <v>45</v>
      </c>
      <c r="B153" s="9">
        <v>1</v>
      </c>
      <c r="C153" s="9">
        <v>2</v>
      </c>
      <c r="D153" s="9">
        <v>128</v>
      </c>
      <c r="E153" s="9">
        <v>308</v>
      </c>
      <c r="F153" s="9">
        <v>0</v>
      </c>
      <c r="G153" s="9">
        <v>2</v>
      </c>
      <c r="H153" s="9">
        <v>170</v>
      </c>
      <c r="I153" s="9">
        <v>0</v>
      </c>
      <c r="J153" s="9">
        <v>0</v>
      </c>
      <c r="K153" s="9">
        <v>1</v>
      </c>
      <c r="L153" s="9">
        <v>0</v>
      </c>
      <c r="M153" s="9">
        <v>3</v>
      </c>
      <c r="N153" s="9">
        <v>0</v>
      </c>
      <c r="O153" s="13">
        <f t="shared" si="13"/>
        <v>-2.3508870154212147</v>
      </c>
      <c r="P153" s="13">
        <f t="shared" si="14"/>
        <v>8.69952935519403E-2</v>
      </c>
      <c r="Q153" s="13">
        <f t="shared" si="15"/>
        <v>0</v>
      </c>
      <c r="R153" s="13">
        <f t="shared" si="16"/>
        <v>0</v>
      </c>
      <c r="S153" s="13">
        <f t="shared" si="17"/>
        <v>0.91300470644805976</v>
      </c>
      <c r="T153" s="13">
        <f t="shared" si="18"/>
        <v>-9.1014243473774167E-2</v>
      </c>
    </row>
    <row r="154" spans="1:20" x14ac:dyDescent="0.3">
      <c r="A154" s="9">
        <v>60</v>
      </c>
      <c r="B154" s="9">
        <v>0</v>
      </c>
      <c r="C154" s="9">
        <v>3</v>
      </c>
      <c r="D154" s="9">
        <v>102</v>
      </c>
      <c r="E154" s="9">
        <v>318</v>
      </c>
      <c r="F154" s="9">
        <v>0</v>
      </c>
      <c r="G154" s="9">
        <v>0</v>
      </c>
      <c r="H154" s="9">
        <v>160</v>
      </c>
      <c r="I154" s="9">
        <v>0</v>
      </c>
      <c r="J154" s="9">
        <v>0</v>
      </c>
      <c r="K154" s="9">
        <v>1</v>
      </c>
      <c r="L154" s="9">
        <v>1</v>
      </c>
      <c r="M154" s="9">
        <v>3</v>
      </c>
      <c r="N154" s="9">
        <v>0</v>
      </c>
      <c r="O154" s="13">
        <f t="shared" si="13"/>
        <v>-2.8901039454007567</v>
      </c>
      <c r="P154" s="13">
        <f t="shared" si="14"/>
        <v>5.2644934079005307E-2</v>
      </c>
      <c r="Q154" s="13">
        <f t="shared" si="15"/>
        <v>0</v>
      </c>
      <c r="R154" s="13">
        <f t="shared" si="16"/>
        <v>0</v>
      </c>
      <c r="S154" s="13">
        <f t="shared" si="17"/>
        <v>0.94735506592099472</v>
      </c>
      <c r="T154" s="13">
        <f t="shared" si="18"/>
        <v>-5.4081318453035043E-2</v>
      </c>
    </row>
    <row r="155" spans="1:20" x14ac:dyDescent="0.3">
      <c r="A155" s="9">
        <v>52</v>
      </c>
      <c r="B155" s="9">
        <v>1</v>
      </c>
      <c r="C155" s="9">
        <v>1</v>
      </c>
      <c r="D155" s="9">
        <v>152</v>
      </c>
      <c r="E155" s="9">
        <v>298</v>
      </c>
      <c r="F155" s="9">
        <v>1</v>
      </c>
      <c r="G155" s="9">
        <v>0</v>
      </c>
      <c r="H155" s="9">
        <v>178</v>
      </c>
      <c r="I155" s="9">
        <v>0</v>
      </c>
      <c r="J155" s="9">
        <v>1.2</v>
      </c>
      <c r="K155" s="9">
        <v>2</v>
      </c>
      <c r="L155" s="9">
        <v>0</v>
      </c>
      <c r="M155" s="9">
        <v>7</v>
      </c>
      <c r="N155" s="9">
        <v>0</v>
      </c>
      <c r="O155" s="13">
        <f t="shared" si="13"/>
        <v>-1.9344988020824481</v>
      </c>
      <c r="P155" s="13">
        <f t="shared" si="14"/>
        <v>0.12625346637550722</v>
      </c>
      <c r="Q155" s="13">
        <f t="shared" si="15"/>
        <v>0</v>
      </c>
      <c r="R155" s="13">
        <f t="shared" si="16"/>
        <v>0</v>
      </c>
      <c r="S155" s="13">
        <f t="shared" si="17"/>
        <v>0.87374653362449273</v>
      </c>
      <c r="T155" s="13">
        <f t="shared" si="18"/>
        <v>-0.13496495268147984</v>
      </c>
    </row>
    <row r="156" spans="1:20" x14ac:dyDescent="0.3">
      <c r="A156" s="9">
        <v>42</v>
      </c>
      <c r="B156" s="9">
        <v>0</v>
      </c>
      <c r="C156" s="9">
        <v>4</v>
      </c>
      <c r="D156" s="9">
        <v>102</v>
      </c>
      <c r="E156" s="9">
        <v>265</v>
      </c>
      <c r="F156" s="9">
        <v>0</v>
      </c>
      <c r="G156" s="9">
        <v>2</v>
      </c>
      <c r="H156" s="9">
        <v>122</v>
      </c>
      <c r="I156" s="9">
        <v>0</v>
      </c>
      <c r="J156" s="9">
        <v>0.6</v>
      </c>
      <c r="K156" s="9">
        <v>2</v>
      </c>
      <c r="L156" s="9">
        <v>0</v>
      </c>
      <c r="M156" s="9">
        <v>3</v>
      </c>
      <c r="N156" s="9">
        <v>0</v>
      </c>
      <c r="O156" s="13">
        <f t="shared" si="13"/>
        <v>-1.5956024704173615</v>
      </c>
      <c r="P156" s="13">
        <f t="shared" si="14"/>
        <v>0.16859712797024581</v>
      </c>
      <c r="Q156" s="13">
        <f t="shared" si="15"/>
        <v>0</v>
      </c>
      <c r="R156" s="13">
        <f t="shared" si="16"/>
        <v>0</v>
      </c>
      <c r="S156" s="13">
        <f t="shared" si="17"/>
        <v>0.83140287202975416</v>
      </c>
      <c r="T156" s="13">
        <f t="shared" si="18"/>
        <v>-0.18464079771953754</v>
      </c>
    </row>
    <row r="157" spans="1:20" x14ac:dyDescent="0.3">
      <c r="A157" s="9">
        <v>67</v>
      </c>
      <c r="B157" s="9">
        <v>0</v>
      </c>
      <c r="C157" s="9">
        <v>3</v>
      </c>
      <c r="D157" s="9">
        <v>115</v>
      </c>
      <c r="E157" s="9">
        <v>564</v>
      </c>
      <c r="F157" s="9">
        <v>0</v>
      </c>
      <c r="G157" s="9">
        <v>2</v>
      </c>
      <c r="H157" s="9">
        <v>160</v>
      </c>
      <c r="I157" s="9">
        <v>0</v>
      </c>
      <c r="J157" s="9">
        <v>1.6</v>
      </c>
      <c r="K157" s="9">
        <v>2</v>
      </c>
      <c r="L157" s="9">
        <v>0</v>
      </c>
      <c r="M157" s="9">
        <v>7</v>
      </c>
      <c r="N157" s="9">
        <v>0</v>
      </c>
      <c r="O157" s="13">
        <f t="shared" si="13"/>
        <v>0.1131260092351436</v>
      </c>
      <c r="P157" s="13">
        <f t="shared" si="14"/>
        <v>0.52825137982783121</v>
      </c>
      <c r="Q157" s="13">
        <f t="shared" si="15"/>
        <v>1</v>
      </c>
      <c r="R157" s="13">
        <f t="shared" si="16"/>
        <v>1</v>
      </c>
      <c r="S157" s="13">
        <f t="shared" si="17"/>
        <v>0.47174862017216879</v>
      </c>
      <c r="T157" s="13">
        <f t="shared" si="18"/>
        <v>-0.75130901965101671</v>
      </c>
    </row>
    <row r="158" spans="1:20" x14ac:dyDescent="0.3">
      <c r="A158" s="9">
        <v>55</v>
      </c>
      <c r="B158" s="9">
        <v>1</v>
      </c>
      <c r="C158" s="9">
        <v>4</v>
      </c>
      <c r="D158" s="9">
        <v>160</v>
      </c>
      <c r="E158" s="9">
        <v>289</v>
      </c>
      <c r="F158" s="9">
        <v>0</v>
      </c>
      <c r="G158" s="9">
        <v>2</v>
      </c>
      <c r="H158" s="9">
        <v>145</v>
      </c>
      <c r="I158" s="9">
        <v>1</v>
      </c>
      <c r="J158" s="9">
        <v>0.8</v>
      </c>
      <c r="K158" s="9">
        <v>2</v>
      </c>
      <c r="L158" s="9">
        <v>1</v>
      </c>
      <c r="M158" s="9">
        <v>7</v>
      </c>
      <c r="N158" s="9">
        <v>1</v>
      </c>
      <c r="O158" s="13">
        <f t="shared" si="13"/>
        <v>4.1868332665642995</v>
      </c>
      <c r="P158" s="13">
        <f t="shared" si="14"/>
        <v>0.98503308699757341</v>
      </c>
      <c r="Q158" s="13">
        <f t="shared" si="15"/>
        <v>1</v>
      </c>
      <c r="R158" s="13">
        <f t="shared" si="16"/>
        <v>0</v>
      </c>
      <c r="S158" s="13">
        <f t="shared" si="17"/>
        <v>0.98503308699757341</v>
      </c>
      <c r="T158" s="13">
        <f t="shared" si="18"/>
        <v>-1.5080047513727867E-2</v>
      </c>
    </row>
    <row r="159" spans="1:20" x14ac:dyDescent="0.3">
      <c r="A159" s="9">
        <v>64</v>
      </c>
      <c r="B159" s="9">
        <v>1</v>
      </c>
      <c r="C159" s="9">
        <v>4</v>
      </c>
      <c r="D159" s="9">
        <v>120</v>
      </c>
      <c r="E159" s="9">
        <v>246</v>
      </c>
      <c r="F159" s="9">
        <v>0</v>
      </c>
      <c r="G159" s="9">
        <v>2</v>
      </c>
      <c r="H159" s="9">
        <v>96</v>
      </c>
      <c r="I159" s="9">
        <v>1</v>
      </c>
      <c r="J159" s="9">
        <v>2.2000000000000002</v>
      </c>
      <c r="K159" s="9">
        <v>3</v>
      </c>
      <c r="L159" s="9">
        <v>1</v>
      </c>
      <c r="M159" s="9">
        <v>3</v>
      </c>
      <c r="N159" s="9">
        <v>1</v>
      </c>
      <c r="O159" s="13">
        <f t="shared" si="13"/>
        <v>3.4382021551817523</v>
      </c>
      <c r="P159" s="13">
        <f t="shared" si="14"/>
        <v>0.96887734924663027</v>
      </c>
      <c r="Q159" s="13">
        <f t="shared" si="15"/>
        <v>1</v>
      </c>
      <c r="R159" s="13">
        <f t="shared" si="16"/>
        <v>0</v>
      </c>
      <c r="S159" s="13">
        <f t="shared" si="17"/>
        <v>0.96887734924663027</v>
      </c>
      <c r="T159" s="13">
        <f t="shared" si="18"/>
        <v>-3.161724966748812E-2</v>
      </c>
    </row>
    <row r="160" spans="1:20" x14ac:dyDescent="0.3">
      <c r="A160" s="9">
        <v>70</v>
      </c>
      <c r="B160" s="9">
        <v>1</v>
      </c>
      <c r="C160" s="9">
        <v>4</v>
      </c>
      <c r="D160" s="9">
        <v>130</v>
      </c>
      <c r="E160" s="9">
        <v>322</v>
      </c>
      <c r="F160" s="9">
        <v>0</v>
      </c>
      <c r="G160" s="9">
        <v>2</v>
      </c>
      <c r="H160" s="9">
        <v>109</v>
      </c>
      <c r="I160" s="9">
        <v>0</v>
      </c>
      <c r="J160" s="9">
        <v>2.4</v>
      </c>
      <c r="K160" s="9">
        <v>2</v>
      </c>
      <c r="L160" s="9">
        <v>3</v>
      </c>
      <c r="M160" s="9">
        <v>3</v>
      </c>
      <c r="N160" s="9">
        <v>1</v>
      </c>
      <c r="O160" s="13">
        <f t="shared" si="13"/>
        <v>4.7922456251286043</v>
      </c>
      <c r="P160" s="13">
        <f t="shared" si="14"/>
        <v>0.99177440983342258</v>
      </c>
      <c r="Q160" s="13">
        <f t="shared" si="15"/>
        <v>1</v>
      </c>
      <c r="R160" s="13">
        <f t="shared" si="16"/>
        <v>0</v>
      </c>
      <c r="S160" s="13">
        <f t="shared" si="17"/>
        <v>0.99177440983342258</v>
      </c>
      <c r="T160" s="13">
        <f t="shared" si="18"/>
        <v>-8.2596070008266118E-3</v>
      </c>
    </row>
    <row r="161" spans="1:20" x14ac:dyDescent="0.3">
      <c r="A161" s="9">
        <v>51</v>
      </c>
      <c r="B161" s="9">
        <v>1</v>
      </c>
      <c r="C161" s="9">
        <v>4</v>
      </c>
      <c r="D161" s="9">
        <v>140</v>
      </c>
      <c r="E161" s="9">
        <v>299</v>
      </c>
      <c r="F161" s="9">
        <v>0</v>
      </c>
      <c r="G161" s="9">
        <v>0</v>
      </c>
      <c r="H161" s="9">
        <v>173</v>
      </c>
      <c r="I161" s="9">
        <v>1</v>
      </c>
      <c r="J161" s="9">
        <v>1.6</v>
      </c>
      <c r="K161" s="9">
        <v>1</v>
      </c>
      <c r="L161" s="9">
        <v>0</v>
      </c>
      <c r="M161" s="9">
        <v>7</v>
      </c>
      <c r="N161" s="9">
        <v>1</v>
      </c>
      <c r="O161" s="13">
        <f t="shared" si="13"/>
        <v>1.1036360296307777</v>
      </c>
      <c r="P161" s="13">
        <f t="shared" si="14"/>
        <v>0.75094076790834208</v>
      </c>
      <c r="Q161" s="13">
        <f t="shared" si="15"/>
        <v>1</v>
      </c>
      <c r="R161" s="13">
        <f t="shared" si="16"/>
        <v>0</v>
      </c>
      <c r="S161" s="13">
        <f t="shared" si="17"/>
        <v>0.75094076790834208</v>
      </c>
      <c r="T161" s="13">
        <f t="shared" si="18"/>
        <v>-0.28642850128940944</v>
      </c>
    </row>
    <row r="162" spans="1:20" x14ac:dyDescent="0.3">
      <c r="A162" s="9">
        <v>58</v>
      </c>
      <c r="B162" s="9">
        <v>1</v>
      </c>
      <c r="C162" s="9">
        <v>4</v>
      </c>
      <c r="D162" s="9">
        <v>125</v>
      </c>
      <c r="E162" s="9">
        <v>300</v>
      </c>
      <c r="F162" s="9">
        <v>0</v>
      </c>
      <c r="G162" s="9">
        <v>2</v>
      </c>
      <c r="H162" s="9">
        <v>171</v>
      </c>
      <c r="I162" s="9">
        <v>0</v>
      </c>
      <c r="J162" s="9">
        <v>0</v>
      </c>
      <c r="K162" s="9">
        <v>1</v>
      </c>
      <c r="L162" s="9">
        <v>2</v>
      </c>
      <c r="M162" s="9">
        <v>7</v>
      </c>
      <c r="N162" s="9">
        <v>1</v>
      </c>
      <c r="O162" s="13">
        <f t="shared" si="13"/>
        <v>2.3945292579761368</v>
      </c>
      <c r="P162" s="13">
        <f t="shared" si="14"/>
        <v>0.91640917965039403</v>
      </c>
      <c r="Q162" s="13">
        <f t="shared" si="15"/>
        <v>1</v>
      </c>
      <c r="R162" s="13">
        <f t="shared" si="16"/>
        <v>0</v>
      </c>
      <c r="S162" s="13">
        <f t="shared" si="17"/>
        <v>0.91640917965039403</v>
      </c>
      <c r="T162" s="13">
        <f t="shared" si="18"/>
        <v>-8.7292311374841877E-2</v>
      </c>
    </row>
    <row r="163" spans="1:20" x14ac:dyDescent="0.3">
      <c r="A163" s="9">
        <v>60</v>
      </c>
      <c r="B163" s="9">
        <v>1</v>
      </c>
      <c r="C163" s="9">
        <v>4</v>
      </c>
      <c r="D163" s="9">
        <v>140</v>
      </c>
      <c r="E163" s="9">
        <v>293</v>
      </c>
      <c r="F163" s="9">
        <v>0</v>
      </c>
      <c r="G163" s="9">
        <v>2</v>
      </c>
      <c r="H163" s="9">
        <v>170</v>
      </c>
      <c r="I163" s="9">
        <v>0</v>
      </c>
      <c r="J163" s="9">
        <v>1.2</v>
      </c>
      <c r="K163" s="9">
        <v>2</v>
      </c>
      <c r="L163" s="9">
        <v>2</v>
      </c>
      <c r="M163" s="9">
        <v>7</v>
      </c>
      <c r="N163" s="9">
        <v>1</v>
      </c>
      <c r="O163" s="13">
        <f t="shared" si="13"/>
        <v>3.5787939363612242</v>
      </c>
      <c r="P163" s="13">
        <f t="shared" si="14"/>
        <v>0.97284844357317291</v>
      </c>
      <c r="Q163" s="13">
        <f t="shared" si="15"/>
        <v>1</v>
      </c>
      <c r="R163" s="13">
        <f t="shared" si="16"/>
        <v>0</v>
      </c>
      <c r="S163" s="13">
        <f t="shared" si="17"/>
        <v>0.97284844357317291</v>
      </c>
      <c r="T163" s="13">
        <f t="shared" si="18"/>
        <v>-2.7526970929142327E-2</v>
      </c>
    </row>
    <row r="164" spans="1:20" x14ac:dyDescent="0.3">
      <c r="A164" s="9">
        <v>68</v>
      </c>
      <c r="B164" s="9">
        <v>1</v>
      </c>
      <c r="C164" s="9">
        <v>3</v>
      </c>
      <c r="D164" s="9">
        <v>118</v>
      </c>
      <c r="E164" s="9">
        <v>277</v>
      </c>
      <c r="F164" s="9">
        <v>0</v>
      </c>
      <c r="G164" s="9">
        <v>0</v>
      </c>
      <c r="H164" s="9">
        <v>151</v>
      </c>
      <c r="I164" s="9">
        <v>0</v>
      </c>
      <c r="J164" s="9">
        <v>1</v>
      </c>
      <c r="K164" s="9">
        <v>1</v>
      </c>
      <c r="L164" s="9">
        <v>1</v>
      </c>
      <c r="M164" s="9">
        <v>7</v>
      </c>
      <c r="N164" s="9">
        <v>0</v>
      </c>
      <c r="O164" s="13">
        <f t="shared" si="13"/>
        <v>0.29730157666198309</v>
      </c>
      <c r="P164" s="13">
        <f t="shared" si="14"/>
        <v>0.57378273266283064</v>
      </c>
      <c r="Q164" s="13">
        <f t="shared" si="15"/>
        <v>1</v>
      </c>
      <c r="R164" s="13">
        <f t="shared" si="16"/>
        <v>1</v>
      </c>
      <c r="S164" s="13">
        <f t="shared" si="17"/>
        <v>0.42621726733716936</v>
      </c>
      <c r="T164" s="13">
        <f t="shared" si="18"/>
        <v>-0.8528060455039439</v>
      </c>
    </row>
    <row r="165" spans="1:20" x14ac:dyDescent="0.3">
      <c r="A165" s="9">
        <v>46</v>
      </c>
      <c r="B165" s="9">
        <v>1</v>
      </c>
      <c r="C165" s="9">
        <v>2</v>
      </c>
      <c r="D165" s="9">
        <v>101</v>
      </c>
      <c r="E165" s="9">
        <v>197</v>
      </c>
      <c r="F165" s="9">
        <v>1</v>
      </c>
      <c r="G165" s="9">
        <v>0</v>
      </c>
      <c r="H165" s="9">
        <v>156</v>
      </c>
      <c r="I165" s="9">
        <v>0</v>
      </c>
      <c r="J165" s="9">
        <v>0</v>
      </c>
      <c r="K165" s="9">
        <v>1</v>
      </c>
      <c r="L165" s="9">
        <v>0</v>
      </c>
      <c r="M165" s="9">
        <v>7</v>
      </c>
      <c r="N165" s="9">
        <v>0</v>
      </c>
      <c r="O165" s="13">
        <f t="shared" si="13"/>
        <v>-3.4132581978269831</v>
      </c>
      <c r="P165" s="13">
        <f t="shared" si="14"/>
        <v>3.1883672819883337E-2</v>
      </c>
      <c r="Q165" s="13">
        <f t="shared" si="15"/>
        <v>0</v>
      </c>
      <c r="R165" s="13">
        <f t="shared" si="16"/>
        <v>0</v>
      </c>
      <c r="S165" s="13">
        <f t="shared" si="17"/>
        <v>0.96811632718011664</v>
      </c>
      <c r="T165" s="13">
        <f t="shared" si="18"/>
        <v>-3.2403026218989252E-2</v>
      </c>
    </row>
    <row r="166" spans="1:20" x14ac:dyDescent="0.3">
      <c r="A166" s="9">
        <v>77</v>
      </c>
      <c r="B166" s="9">
        <v>1</v>
      </c>
      <c r="C166" s="9">
        <v>4</v>
      </c>
      <c r="D166" s="9">
        <v>125</v>
      </c>
      <c r="E166" s="9">
        <v>304</v>
      </c>
      <c r="F166" s="9">
        <v>0</v>
      </c>
      <c r="G166" s="9">
        <v>2</v>
      </c>
      <c r="H166" s="9">
        <v>162</v>
      </c>
      <c r="I166" s="9">
        <v>1</v>
      </c>
      <c r="J166" s="9">
        <v>0</v>
      </c>
      <c r="K166" s="9">
        <v>1</v>
      </c>
      <c r="L166" s="9">
        <v>3</v>
      </c>
      <c r="M166" s="9">
        <v>3</v>
      </c>
      <c r="N166" s="9">
        <v>1</v>
      </c>
      <c r="O166" s="13">
        <f t="shared" si="13"/>
        <v>3.1486169348954753</v>
      </c>
      <c r="P166" s="13">
        <f t="shared" si="14"/>
        <v>0.95885419058019528</v>
      </c>
      <c r="Q166" s="13">
        <f t="shared" si="15"/>
        <v>1</v>
      </c>
      <c r="R166" s="13">
        <f t="shared" si="16"/>
        <v>0</v>
      </c>
      <c r="S166" s="13">
        <f t="shared" si="17"/>
        <v>0.95885419058019528</v>
      </c>
      <c r="T166" s="13">
        <f t="shared" si="18"/>
        <v>-4.2016258849056624E-2</v>
      </c>
    </row>
    <row r="167" spans="1:20" x14ac:dyDescent="0.3">
      <c r="A167" s="9">
        <v>54</v>
      </c>
      <c r="B167" s="9">
        <v>0</v>
      </c>
      <c r="C167" s="9">
        <v>3</v>
      </c>
      <c r="D167" s="9">
        <v>110</v>
      </c>
      <c r="E167" s="9">
        <v>214</v>
      </c>
      <c r="F167" s="9">
        <v>0</v>
      </c>
      <c r="G167" s="9">
        <v>0</v>
      </c>
      <c r="H167" s="9">
        <v>158</v>
      </c>
      <c r="I167" s="9">
        <v>0</v>
      </c>
      <c r="J167" s="9">
        <v>1.6</v>
      </c>
      <c r="K167" s="9">
        <v>2</v>
      </c>
      <c r="L167" s="9">
        <v>0</v>
      </c>
      <c r="M167" s="9">
        <v>3</v>
      </c>
      <c r="N167" s="9">
        <v>0</v>
      </c>
      <c r="O167" s="13">
        <f t="shared" si="13"/>
        <v>-3.3917905742878207</v>
      </c>
      <c r="P167" s="13">
        <f t="shared" si="14"/>
        <v>3.2553016957499764E-2</v>
      </c>
      <c r="Q167" s="13">
        <f t="shared" si="15"/>
        <v>0</v>
      </c>
      <c r="R167" s="13">
        <f t="shared" si="16"/>
        <v>0</v>
      </c>
      <c r="S167" s="13">
        <f t="shared" si="17"/>
        <v>0.96744698304250021</v>
      </c>
      <c r="T167" s="13">
        <f t="shared" si="18"/>
        <v>-3.3094653468548021E-2</v>
      </c>
    </row>
    <row r="168" spans="1:20" x14ac:dyDescent="0.3">
      <c r="A168" s="9">
        <v>58</v>
      </c>
      <c r="B168" s="9">
        <v>0</v>
      </c>
      <c r="C168" s="9">
        <v>4</v>
      </c>
      <c r="D168" s="9">
        <v>100</v>
      </c>
      <c r="E168" s="9">
        <v>248</v>
      </c>
      <c r="F168" s="9">
        <v>0</v>
      </c>
      <c r="G168" s="9">
        <v>2</v>
      </c>
      <c r="H168" s="9">
        <v>122</v>
      </c>
      <c r="I168" s="9">
        <v>0</v>
      </c>
      <c r="J168" s="9">
        <v>1</v>
      </c>
      <c r="K168" s="9">
        <v>2</v>
      </c>
      <c r="L168" s="9">
        <v>0</v>
      </c>
      <c r="M168" s="9">
        <v>3</v>
      </c>
      <c r="N168" s="9">
        <v>0</v>
      </c>
      <c r="O168" s="13">
        <f t="shared" si="13"/>
        <v>-1.8564070942529813</v>
      </c>
      <c r="P168" s="13">
        <f t="shared" si="14"/>
        <v>0.13512238427533169</v>
      </c>
      <c r="Q168" s="13">
        <f t="shared" si="15"/>
        <v>0</v>
      </c>
      <c r="R168" s="13">
        <f t="shared" si="16"/>
        <v>0</v>
      </c>
      <c r="S168" s="13">
        <f t="shared" si="17"/>
        <v>0.86487761572466826</v>
      </c>
      <c r="T168" s="13">
        <f t="shared" si="18"/>
        <v>-0.14516726677152986</v>
      </c>
    </row>
    <row r="169" spans="1:20" x14ac:dyDescent="0.3">
      <c r="A169" s="9">
        <v>48</v>
      </c>
      <c r="B169" s="9">
        <v>1</v>
      </c>
      <c r="C169" s="9">
        <v>3</v>
      </c>
      <c r="D169" s="9">
        <v>124</v>
      </c>
      <c r="E169" s="9">
        <v>255</v>
      </c>
      <c r="F169" s="9">
        <v>1</v>
      </c>
      <c r="G169" s="9">
        <v>0</v>
      </c>
      <c r="H169" s="9">
        <v>175</v>
      </c>
      <c r="I169" s="9">
        <v>0</v>
      </c>
      <c r="J169" s="9">
        <v>0</v>
      </c>
      <c r="K169" s="9">
        <v>1</v>
      </c>
      <c r="L169" s="9">
        <v>2</v>
      </c>
      <c r="M169" s="9">
        <v>3</v>
      </c>
      <c r="N169" s="9">
        <v>0</v>
      </c>
      <c r="O169" s="13">
        <f t="shared" si="13"/>
        <v>-1.2583292299280231</v>
      </c>
      <c r="P169" s="13">
        <f t="shared" si="14"/>
        <v>0.22126164006164556</v>
      </c>
      <c r="Q169" s="13">
        <f t="shared" si="15"/>
        <v>0</v>
      </c>
      <c r="R169" s="13">
        <f t="shared" si="16"/>
        <v>0</v>
      </c>
      <c r="S169" s="13">
        <f t="shared" si="17"/>
        <v>0.77873835993835439</v>
      </c>
      <c r="T169" s="13">
        <f t="shared" si="18"/>
        <v>-0.25008015610184059</v>
      </c>
    </row>
    <row r="170" spans="1:20" x14ac:dyDescent="0.3">
      <c r="A170" s="9">
        <v>57</v>
      </c>
      <c r="B170" s="9">
        <v>1</v>
      </c>
      <c r="C170" s="9">
        <v>4</v>
      </c>
      <c r="D170" s="9">
        <v>132</v>
      </c>
      <c r="E170" s="9">
        <v>207</v>
      </c>
      <c r="F170" s="9">
        <v>0</v>
      </c>
      <c r="G170" s="9">
        <v>0</v>
      </c>
      <c r="H170" s="9">
        <v>168</v>
      </c>
      <c r="I170" s="9">
        <v>1</v>
      </c>
      <c r="J170" s="9">
        <v>0</v>
      </c>
      <c r="K170" s="9">
        <v>1</v>
      </c>
      <c r="L170" s="9">
        <v>0</v>
      </c>
      <c r="M170" s="9">
        <v>7</v>
      </c>
      <c r="N170" s="9">
        <v>0</v>
      </c>
      <c r="O170" s="13">
        <f t="shared" si="13"/>
        <v>7.5494106500835656E-2</v>
      </c>
      <c r="P170" s="13">
        <f t="shared" si="14"/>
        <v>0.51886456781238244</v>
      </c>
      <c r="Q170" s="13">
        <f t="shared" si="15"/>
        <v>1</v>
      </c>
      <c r="R170" s="13">
        <f t="shared" si="16"/>
        <v>1</v>
      </c>
      <c r="S170" s="13">
        <f t="shared" si="17"/>
        <v>0.48113543218761756</v>
      </c>
      <c r="T170" s="13">
        <f t="shared" si="18"/>
        <v>-0.73160648470840273</v>
      </c>
    </row>
    <row r="171" spans="1:20" x14ac:dyDescent="0.3">
      <c r="A171" s="9">
        <v>54</v>
      </c>
      <c r="B171" s="9">
        <v>0</v>
      </c>
      <c r="C171" s="9">
        <v>2</v>
      </c>
      <c r="D171" s="9">
        <v>132</v>
      </c>
      <c r="E171" s="9">
        <v>288</v>
      </c>
      <c r="F171" s="9">
        <v>1</v>
      </c>
      <c r="G171" s="9">
        <v>2</v>
      </c>
      <c r="H171" s="9">
        <v>159</v>
      </c>
      <c r="I171" s="9">
        <v>1</v>
      </c>
      <c r="J171" s="9">
        <v>0</v>
      </c>
      <c r="K171" s="9">
        <v>1</v>
      </c>
      <c r="L171" s="9">
        <v>1</v>
      </c>
      <c r="M171" s="9">
        <v>3</v>
      </c>
      <c r="N171" s="9">
        <v>0</v>
      </c>
      <c r="O171" s="13">
        <f t="shared" si="13"/>
        <v>-2.3939676509188192</v>
      </c>
      <c r="P171" s="13">
        <f t="shared" si="14"/>
        <v>8.3633851418953478E-2</v>
      </c>
      <c r="Q171" s="13">
        <f t="shared" si="15"/>
        <v>0</v>
      </c>
      <c r="R171" s="13">
        <f t="shared" si="16"/>
        <v>0</v>
      </c>
      <c r="S171" s="13">
        <f t="shared" si="17"/>
        <v>0.91636614858104648</v>
      </c>
      <c r="T171" s="13">
        <f t="shared" si="18"/>
        <v>-8.7339268651811533E-2</v>
      </c>
    </row>
    <row r="172" spans="1:20" x14ac:dyDescent="0.3">
      <c r="A172" s="9">
        <v>35</v>
      </c>
      <c r="B172" s="9">
        <v>1</v>
      </c>
      <c r="C172" s="9">
        <v>4</v>
      </c>
      <c r="D172" s="9">
        <v>126</v>
      </c>
      <c r="E172" s="9">
        <v>282</v>
      </c>
      <c r="F172" s="9">
        <v>0</v>
      </c>
      <c r="G172" s="9">
        <v>2</v>
      </c>
      <c r="H172" s="9">
        <v>156</v>
      </c>
      <c r="I172" s="9">
        <v>1</v>
      </c>
      <c r="J172" s="9">
        <v>0</v>
      </c>
      <c r="K172" s="9">
        <v>1</v>
      </c>
      <c r="L172" s="9">
        <v>0</v>
      </c>
      <c r="M172" s="9">
        <v>7</v>
      </c>
      <c r="N172" s="9">
        <v>1</v>
      </c>
      <c r="O172" s="13">
        <f t="shared" si="13"/>
        <v>1.3562060795492226</v>
      </c>
      <c r="P172" s="13">
        <f t="shared" si="14"/>
        <v>0.79514239430859013</v>
      </c>
      <c r="Q172" s="13">
        <f t="shared" si="15"/>
        <v>1</v>
      </c>
      <c r="R172" s="13">
        <f t="shared" si="16"/>
        <v>0</v>
      </c>
      <c r="S172" s="13">
        <f t="shared" si="17"/>
        <v>0.79514239430859013</v>
      </c>
      <c r="T172" s="13">
        <f t="shared" si="18"/>
        <v>-0.22923406802865559</v>
      </c>
    </row>
    <row r="173" spans="1:20" x14ac:dyDescent="0.3">
      <c r="A173" s="9">
        <v>45</v>
      </c>
      <c r="B173" s="9">
        <v>0</v>
      </c>
      <c r="C173" s="9">
        <v>2</v>
      </c>
      <c r="D173" s="9">
        <v>112</v>
      </c>
      <c r="E173" s="9">
        <v>160</v>
      </c>
      <c r="F173" s="9">
        <v>0</v>
      </c>
      <c r="G173" s="9">
        <v>0</v>
      </c>
      <c r="H173" s="9">
        <v>138</v>
      </c>
      <c r="I173" s="9">
        <v>0</v>
      </c>
      <c r="J173" s="9">
        <v>0</v>
      </c>
      <c r="K173" s="9">
        <v>2</v>
      </c>
      <c r="L173" s="9">
        <v>0</v>
      </c>
      <c r="M173" s="9">
        <v>3</v>
      </c>
      <c r="N173" s="9">
        <v>0</v>
      </c>
      <c r="O173" s="13">
        <f t="shared" si="13"/>
        <v>-4.0428117253345093</v>
      </c>
      <c r="P173" s="13">
        <f t="shared" si="14"/>
        <v>1.7245438615212758E-2</v>
      </c>
      <c r="Q173" s="13">
        <f t="shared" si="15"/>
        <v>0</v>
      </c>
      <c r="R173" s="13">
        <f t="shared" si="16"/>
        <v>0</v>
      </c>
      <c r="S173" s="13">
        <f t="shared" si="17"/>
        <v>0.98275456138478723</v>
      </c>
      <c r="T173" s="13">
        <f t="shared" si="18"/>
        <v>-1.7395873241142629E-2</v>
      </c>
    </row>
    <row r="174" spans="1:20" x14ac:dyDescent="0.3">
      <c r="A174" s="9">
        <v>70</v>
      </c>
      <c r="B174" s="9">
        <v>1</v>
      </c>
      <c r="C174" s="9">
        <v>3</v>
      </c>
      <c r="D174" s="9">
        <v>160</v>
      </c>
      <c r="E174" s="9">
        <v>269</v>
      </c>
      <c r="F174" s="9">
        <v>0</v>
      </c>
      <c r="G174" s="9">
        <v>0</v>
      </c>
      <c r="H174" s="9">
        <v>112</v>
      </c>
      <c r="I174" s="9">
        <v>1</v>
      </c>
      <c r="J174" s="9">
        <v>2.9</v>
      </c>
      <c r="K174" s="9">
        <v>2</v>
      </c>
      <c r="L174" s="9">
        <v>1</v>
      </c>
      <c r="M174" s="9">
        <v>7</v>
      </c>
      <c r="N174" s="9">
        <v>1</v>
      </c>
      <c r="O174" s="13">
        <f t="shared" si="13"/>
        <v>4.0105457878480539</v>
      </c>
      <c r="P174" s="13">
        <f t="shared" si="14"/>
        <v>0.98219911343421928</v>
      </c>
      <c r="Q174" s="13">
        <f t="shared" si="15"/>
        <v>1</v>
      </c>
      <c r="R174" s="13">
        <f t="shared" si="16"/>
        <v>0</v>
      </c>
      <c r="S174" s="13">
        <f t="shared" si="17"/>
        <v>0.98219911343421928</v>
      </c>
      <c r="T174" s="13">
        <f t="shared" si="18"/>
        <v>-1.7961228010041942E-2</v>
      </c>
    </row>
    <row r="175" spans="1:20" x14ac:dyDescent="0.3">
      <c r="A175" s="9">
        <v>53</v>
      </c>
      <c r="B175" s="9">
        <v>1</v>
      </c>
      <c r="C175" s="9">
        <v>4</v>
      </c>
      <c r="D175" s="9">
        <v>142</v>
      </c>
      <c r="E175" s="9">
        <v>226</v>
      </c>
      <c r="F175" s="9">
        <v>0</v>
      </c>
      <c r="G175" s="9">
        <v>2</v>
      </c>
      <c r="H175" s="9">
        <v>111</v>
      </c>
      <c r="I175" s="9">
        <v>1</v>
      </c>
      <c r="J175" s="9">
        <v>0</v>
      </c>
      <c r="K175" s="9">
        <v>1</v>
      </c>
      <c r="L175" s="9">
        <v>0</v>
      </c>
      <c r="M175" s="9">
        <v>7</v>
      </c>
      <c r="N175" s="9">
        <v>0</v>
      </c>
      <c r="O175" s="13">
        <f t="shared" si="13"/>
        <v>2.1373988770511634</v>
      </c>
      <c r="P175" s="13">
        <f t="shared" si="14"/>
        <v>0.89448536490621378</v>
      </c>
      <c r="Q175" s="13">
        <f t="shared" si="15"/>
        <v>1</v>
      </c>
      <c r="R175" s="13">
        <f t="shared" si="16"/>
        <v>1</v>
      </c>
      <c r="S175" s="13">
        <f t="shared" si="17"/>
        <v>0.10551463509378622</v>
      </c>
      <c r="T175" s="13">
        <f t="shared" si="18"/>
        <v>-2.2489056144188053</v>
      </c>
    </row>
    <row r="176" spans="1:20" x14ac:dyDescent="0.3">
      <c r="A176" s="9">
        <v>59</v>
      </c>
      <c r="B176" s="9">
        <v>0</v>
      </c>
      <c r="C176" s="9">
        <v>4</v>
      </c>
      <c r="D176" s="9">
        <v>174</v>
      </c>
      <c r="E176" s="9">
        <v>249</v>
      </c>
      <c r="F176" s="9">
        <v>0</v>
      </c>
      <c r="G176" s="9">
        <v>0</v>
      </c>
      <c r="H176" s="9">
        <v>143</v>
      </c>
      <c r="I176" s="9">
        <v>1</v>
      </c>
      <c r="J176" s="9">
        <v>0</v>
      </c>
      <c r="K176" s="9">
        <v>2</v>
      </c>
      <c r="L176" s="9">
        <v>0</v>
      </c>
      <c r="M176" s="9">
        <v>3</v>
      </c>
      <c r="N176" s="9">
        <v>1</v>
      </c>
      <c r="O176" s="13">
        <f t="shared" si="13"/>
        <v>-0.3348975467800237</v>
      </c>
      <c r="P176" s="13">
        <f t="shared" si="14"/>
        <v>0.41704945393268139</v>
      </c>
      <c r="Q176" s="13">
        <f t="shared" si="15"/>
        <v>0</v>
      </c>
      <c r="R176" s="13">
        <f t="shared" si="16"/>
        <v>1</v>
      </c>
      <c r="S176" s="13">
        <f t="shared" si="17"/>
        <v>0.41704945393268139</v>
      </c>
      <c r="T176" s="13">
        <f t="shared" si="18"/>
        <v>-0.87455046965232974</v>
      </c>
    </row>
    <row r="177" spans="1:20" x14ac:dyDescent="0.3">
      <c r="A177" s="9">
        <v>62</v>
      </c>
      <c r="B177" s="9">
        <v>0</v>
      </c>
      <c r="C177" s="9">
        <v>4</v>
      </c>
      <c r="D177" s="9">
        <v>140</v>
      </c>
      <c r="E177" s="9">
        <v>394</v>
      </c>
      <c r="F177" s="9">
        <v>0</v>
      </c>
      <c r="G177" s="9">
        <v>2</v>
      </c>
      <c r="H177" s="9">
        <v>157</v>
      </c>
      <c r="I177" s="9">
        <v>0</v>
      </c>
      <c r="J177" s="9">
        <v>1.2</v>
      </c>
      <c r="K177" s="9">
        <v>2</v>
      </c>
      <c r="L177" s="9">
        <v>0</v>
      </c>
      <c r="M177" s="9">
        <v>3</v>
      </c>
      <c r="N177" s="9">
        <v>0</v>
      </c>
      <c r="O177" s="13">
        <f t="shared" si="13"/>
        <v>-0.89961324374144702</v>
      </c>
      <c r="P177" s="13">
        <f t="shared" si="14"/>
        <v>0.28912998238887194</v>
      </c>
      <c r="Q177" s="13">
        <f t="shared" si="15"/>
        <v>0</v>
      </c>
      <c r="R177" s="13">
        <f t="shared" si="16"/>
        <v>0</v>
      </c>
      <c r="S177" s="13">
        <f t="shared" si="17"/>
        <v>0.710870017611128</v>
      </c>
      <c r="T177" s="13">
        <f t="shared" si="18"/>
        <v>-0.34126568219123082</v>
      </c>
    </row>
    <row r="178" spans="1:20" x14ac:dyDescent="0.3">
      <c r="A178" s="9">
        <v>64</v>
      </c>
      <c r="B178" s="9">
        <v>1</v>
      </c>
      <c r="C178" s="9">
        <v>4</v>
      </c>
      <c r="D178" s="9">
        <v>145</v>
      </c>
      <c r="E178" s="9">
        <v>212</v>
      </c>
      <c r="F178" s="9">
        <v>0</v>
      </c>
      <c r="G178" s="9">
        <v>2</v>
      </c>
      <c r="H178" s="9">
        <v>132</v>
      </c>
      <c r="I178" s="9">
        <v>0</v>
      </c>
      <c r="J178" s="9">
        <v>2</v>
      </c>
      <c r="K178" s="9">
        <v>2</v>
      </c>
      <c r="L178" s="9">
        <v>2</v>
      </c>
      <c r="M178" s="9">
        <v>6</v>
      </c>
      <c r="N178" s="9">
        <v>1</v>
      </c>
      <c r="O178" s="13">
        <f t="shared" si="13"/>
        <v>3.8788919748170336</v>
      </c>
      <c r="P178" s="13">
        <f t="shared" si="14"/>
        <v>0.97974502615033654</v>
      </c>
      <c r="Q178" s="13">
        <f t="shared" si="15"/>
        <v>1</v>
      </c>
      <c r="R178" s="13">
        <f t="shared" si="16"/>
        <v>0</v>
      </c>
      <c r="S178" s="13">
        <f t="shared" si="17"/>
        <v>0.97974502615033654</v>
      </c>
      <c r="T178" s="13">
        <f t="shared" si="18"/>
        <v>-2.0462918567146153E-2</v>
      </c>
    </row>
    <row r="179" spans="1:20" x14ac:dyDescent="0.3">
      <c r="A179" s="9">
        <v>57</v>
      </c>
      <c r="B179" s="9">
        <v>1</v>
      </c>
      <c r="C179" s="9">
        <v>4</v>
      </c>
      <c r="D179" s="9">
        <v>152</v>
      </c>
      <c r="E179" s="9">
        <v>274</v>
      </c>
      <c r="F179" s="9">
        <v>0</v>
      </c>
      <c r="G179" s="9">
        <v>0</v>
      </c>
      <c r="H179" s="9">
        <v>88</v>
      </c>
      <c r="I179" s="9">
        <v>1</v>
      </c>
      <c r="J179" s="9">
        <v>1.2</v>
      </c>
      <c r="K179" s="9">
        <v>2</v>
      </c>
      <c r="L179" s="9">
        <v>1</v>
      </c>
      <c r="M179" s="9">
        <v>7</v>
      </c>
      <c r="N179" s="9">
        <v>1</v>
      </c>
      <c r="O179" s="13">
        <f t="shared" si="13"/>
        <v>4.67955008195616</v>
      </c>
      <c r="P179" s="13">
        <f t="shared" si="14"/>
        <v>0.99080219534260172</v>
      </c>
      <c r="Q179" s="13">
        <f t="shared" si="15"/>
        <v>1</v>
      </c>
      <c r="R179" s="13">
        <f t="shared" si="16"/>
        <v>0</v>
      </c>
      <c r="S179" s="13">
        <f t="shared" si="17"/>
        <v>0.99080219534260172</v>
      </c>
      <c r="T179" s="13">
        <f t="shared" si="18"/>
        <v>-9.2403656420944648E-3</v>
      </c>
    </row>
    <row r="180" spans="1:20" x14ac:dyDescent="0.3">
      <c r="A180" s="9">
        <v>52</v>
      </c>
      <c r="B180" s="9">
        <v>1</v>
      </c>
      <c r="C180" s="9">
        <v>4</v>
      </c>
      <c r="D180" s="9">
        <v>108</v>
      </c>
      <c r="E180" s="9">
        <v>233</v>
      </c>
      <c r="F180" s="9">
        <v>1</v>
      </c>
      <c r="G180" s="9">
        <v>0</v>
      </c>
      <c r="H180" s="9">
        <v>147</v>
      </c>
      <c r="I180" s="9">
        <v>0</v>
      </c>
      <c r="J180" s="9">
        <v>0.1</v>
      </c>
      <c r="K180" s="9">
        <v>1</v>
      </c>
      <c r="L180" s="9">
        <v>3</v>
      </c>
      <c r="M180" s="9">
        <v>7</v>
      </c>
      <c r="N180" s="9">
        <v>0</v>
      </c>
      <c r="O180" s="13">
        <f t="shared" si="13"/>
        <v>2.0143519643341499</v>
      </c>
      <c r="P180" s="13">
        <f t="shared" si="14"/>
        <v>0.88229572605622297</v>
      </c>
      <c r="Q180" s="13">
        <f t="shared" si="15"/>
        <v>1</v>
      </c>
      <c r="R180" s="13">
        <f t="shared" si="16"/>
        <v>1</v>
      </c>
      <c r="S180" s="13">
        <f t="shared" si="17"/>
        <v>0.11770427394377703</v>
      </c>
      <c r="T180" s="13">
        <f t="shared" si="18"/>
        <v>-2.1395799531935542</v>
      </c>
    </row>
    <row r="181" spans="1:20" x14ac:dyDescent="0.3">
      <c r="A181" s="9">
        <v>56</v>
      </c>
      <c r="B181" s="9">
        <v>1</v>
      </c>
      <c r="C181" s="9">
        <v>4</v>
      </c>
      <c r="D181" s="9">
        <v>132</v>
      </c>
      <c r="E181" s="9">
        <v>184</v>
      </c>
      <c r="F181" s="9">
        <v>0</v>
      </c>
      <c r="G181" s="9">
        <v>2</v>
      </c>
      <c r="H181" s="9">
        <v>105</v>
      </c>
      <c r="I181" s="9">
        <v>1</v>
      </c>
      <c r="J181" s="9">
        <v>2.1</v>
      </c>
      <c r="K181" s="9">
        <v>2</v>
      </c>
      <c r="L181" s="9">
        <v>1</v>
      </c>
      <c r="M181" s="9">
        <v>6</v>
      </c>
      <c r="N181" s="9">
        <v>1</v>
      </c>
      <c r="O181" s="13">
        <f t="shared" si="13"/>
        <v>3.7822922166040307</v>
      </c>
      <c r="P181" s="13">
        <f t="shared" si="14"/>
        <v>0.97773651254841853</v>
      </c>
      <c r="Q181" s="13">
        <f t="shared" si="15"/>
        <v>1</v>
      </c>
      <c r="R181" s="13">
        <f t="shared" si="16"/>
        <v>0</v>
      </c>
      <c r="S181" s="13">
        <f t="shared" si="17"/>
        <v>0.97773651254841853</v>
      </c>
      <c r="T181" s="13">
        <f t="shared" si="18"/>
        <v>-2.2515059818114486E-2</v>
      </c>
    </row>
    <row r="182" spans="1:20" x14ac:dyDescent="0.3">
      <c r="A182" s="9">
        <v>43</v>
      </c>
      <c r="B182" s="9">
        <v>1</v>
      </c>
      <c r="C182" s="9">
        <v>3</v>
      </c>
      <c r="D182" s="9">
        <v>130</v>
      </c>
      <c r="E182" s="9">
        <v>315</v>
      </c>
      <c r="F182" s="9">
        <v>0</v>
      </c>
      <c r="G182" s="9">
        <v>0</v>
      </c>
      <c r="H182" s="9">
        <v>162</v>
      </c>
      <c r="I182" s="9">
        <v>0</v>
      </c>
      <c r="J182" s="9">
        <v>1.9</v>
      </c>
      <c r="K182" s="9">
        <v>1</v>
      </c>
      <c r="L182" s="9">
        <v>1</v>
      </c>
      <c r="M182" s="9">
        <v>3</v>
      </c>
      <c r="N182" s="9">
        <v>0</v>
      </c>
      <c r="O182" s="13">
        <f t="shared" si="13"/>
        <v>-0.25124256799911748</v>
      </c>
      <c r="P182" s="13">
        <f t="shared" si="14"/>
        <v>0.43751768444563938</v>
      </c>
      <c r="Q182" s="13">
        <f t="shared" si="15"/>
        <v>0</v>
      </c>
      <c r="R182" s="13">
        <f t="shared" si="16"/>
        <v>0</v>
      </c>
      <c r="S182" s="13">
        <f t="shared" si="17"/>
        <v>0.56248231555436057</v>
      </c>
      <c r="T182" s="13">
        <f t="shared" si="18"/>
        <v>-0.57539558441224814</v>
      </c>
    </row>
    <row r="183" spans="1:20" x14ac:dyDescent="0.3">
      <c r="A183" s="9">
        <v>53</v>
      </c>
      <c r="B183" s="9">
        <v>1</v>
      </c>
      <c r="C183" s="9">
        <v>3</v>
      </c>
      <c r="D183" s="9">
        <v>130</v>
      </c>
      <c r="E183" s="9">
        <v>246</v>
      </c>
      <c r="F183" s="9">
        <v>1</v>
      </c>
      <c r="G183" s="9">
        <v>2</v>
      </c>
      <c r="H183" s="9">
        <v>173</v>
      </c>
      <c r="I183" s="9">
        <v>0</v>
      </c>
      <c r="J183" s="9">
        <v>0</v>
      </c>
      <c r="K183" s="9">
        <v>1</v>
      </c>
      <c r="L183" s="9">
        <v>3</v>
      </c>
      <c r="M183" s="9">
        <v>3</v>
      </c>
      <c r="N183" s="9">
        <v>0</v>
      </c>
      <c r="O183" s="13">
        <f t="shared" si="13"/>
        <v>0.56959030007524802</v>
      </c>
      <c r="P183" s="13">
        <f t="shared" si="14"/>
        <v>0.63866863365585735</v>
      </c>
      <c r="Q183" s="13">
        <f t="shared" si="15"/>
        <v>1</v>
      </c>
      <c r="R183" s="13">
        <f t="shared" si="16"/>
        <v>1</v>
      </c>
      <c r="S183" s="13">
        <f t="shared" si="17"/>
        <v>0.36133136634414265</v>
      </c>
      <c r="T183" s="13">
        <f t="shared" si="18"/>
        <v>-1.0179598293624943</v>
      </c>
    </row>
    <row r="184" spans="1:20" x14ac:dyDescent="0.3">
      <c r="A184" s="9">
        <v>48</v>
      </c>
      <c r="B184" s="9">
        <v>1</v>
      </c>
      <c r="C184" s="9">
        <v>4</v>
      </c>
      <c r="D184" s="9">
        <v>124</v>
      </c>
      <c r="E184" s="9">
        <v>274</v>
      </c>
      <c r="F184" s="9">
        <v>0</v>
      </c>
      <c r="G184" s="9">
        <v>2</v>
      </c>
      <c r="H184" s="9">
        <v>166</v>
      </c>
      <c r="I184" s="9">
        <v>0</v>
      </c>
      <c r="J184" s="9">
        <v>0.5</v>
      </c>
      <c r="K184" s="9">
        <v>2</v>
      </c>
      <c r="L184" s="9">
        <v>0</v>
      </c>
      <c r="M184" s="9">
        <v>7</v>
      </c>
      <c r="N184" s="9">
        <v>1</v>
      </c>
      <c r="O184" s="13">
        <f t="shared" si="13"/>
        <v>0.64445028657720194</v>
      </c>
      <c r="P184" s="13">
        <f t="shared" si="14"/>
        <v>0.6557587599620357</v>
      </c>
      <c r="Q184" s="13">
        <f t="shared" si="15"/>
        <v>1</v>
      </c>
      <c r="R184" s="13">
        <f t="shared" si="16"/>
        <v>0</v>
      </c>
      <c r="S184" s="13">
        <f t="shared" si="17"/>
        <v>0.6557587599620357</v>
      </c>
      <c r="T184" s="13">
        <f t="shared" si="18"/>
        <v>-0.42196230163275156</v>
      </c>
    </row>
    <row r="185" spans="1:20" x14ac:dyDescent="0.3">
      <c r="A185" s="9">
        <v>56</v>
      </c>
      <c r="B185" s="9">
        <v>0</v>
      </c>
      <c r="C185" s="9">
        <v>4</v>
      </c>
      <c r="D185" s="9">
        <v>134</v>
      </c>
      <c r="E185" s="9">
        <v>409</v>
      </c>
      <c r="F185" s="9">
        <v>0</v>
      </c>
      <c r="G185" s="9">
        <v>2</v>
      </c>
      <c r="H185" s="9">
        <v>150</v>
      </c>
      <c r="I185" s="9">
        <v>1</v>
      </c>
      <c r="J185" s="9">
        <v>1.9</v>
      </c>
      <c r="K185" s="9">
        <v>2</v>
      </c>
      <c r="L185" s="9">
        <v>2</v>
      </c>
      <c r="M185" s="9">
        <v>7</v>
      </c>
      <c r="N185" s="9">
        <v>1</v>
      </c>
      <c r="O185" s="13">
        <f t="shared" si="13"/>
        <v>4.2710211005359433</v>
      </c>
      <c r="P185" s="13">
        <f t="shared" si="14"/>
        <v>0.98622489039756267</v>
      </c>
      <c r="Q185" s="13">
        <f t="shared" si="15"/>
        <v>1</v>
      </c>
      <c r="R185" s="13">
        <f t="shared" si="16"/>
        <v>0</v>
      </c>
      <c r="S185" s="13">
        <f t="shared" si="17"/>
        <v>0.98622489039756267</v>
      </c>
      <c r="T185" s="13">
        <f t="shared" si="18"/>
        <v>-1.3870866819096286E-2</v>
      </c>
    </row>
    <row r="186" spans="1:20" x14ac:dyDescent="0.3">
      <c r="A186" s="9">
        <v>42</v>
      </c>
      <c r="B186" s="9">
        <v>1</v>
      </c>
      <c r="C186" s="9">
        <v>1</v>
      </c>
      <c r="D186" s="9">
        <v>148</v>
      </c>
      <c r="E186" s="9">
        <v>244</v>
      </c>
      <c r="F186" s="9">
        <v>0</v>
      </c>
      <c r="G186" s="9">
        <v>2</v>
      </c>
      <c r="H186" s="9">
        <v>178</v>
      </c>
      <c r="I186" s="9">
        <v>0</v>
      </c>
      <c r="J186" s="9">
        <v>0.8</v>
      </c>
      <c r="K186" s="9">
        <v>1</v>
      </c>
      <c r="L186" s="9">
        <v>2</v>
      </c>
      <c r="M186" s="9">
        <v>3</v>
      </c>
      <c r="N186" s="9">
        <v>0</v>
      </c>
      <c r="O186" s="13">
        <f t="shared" si="13"/>
        <v>-0.15500669437563097</v>
      </c>
      <c r="P186" s="13">
        <f t="shared" si="14"/>
        <v>0.46132573121192488</v>
      </c>
      <c r="Q186" s="13">
        <f t="shared" si="15"/>
        <v>0</v>
      </c>
      <c r="R186" s="13">
        <f t="shared" si="16"/>
        <v>0</v>
      </c>
      <c r="S186" s="13">
        <f t="shared" si="17"/>
        <v>0.53867426878807512</v>
      </c>
      <c r="T186" s="13">
        <f t="shared" si="18"/>
        <v>-0.61864421581964202</v>
      </c>
    </row>
    <row r="187" spans="1:20" x14ac:dyDescent="0.3">
      <c r="A187" s="9">
        <v>59</v>
      </c>
      <c r="B187" s="9">
        <v>1</v>
      </c>
      <c r="C187" s="9">
        <v>1</v>
      </c>
      <c r="D187" s="9">
        <v>178</v>
      </c>
      <c r="E187" s="9">
        <v>270</v>
      </c>
      <c r="F187" s="9">
        <v>0</v>
      </c>
      <c r="G187" s="9">
        <v>2</v>
      </c>
      <c r="H187" s="9">
        <v>145</v>
      </c>
      <c r="I187" s="9">
        <v>0</v>
      </c>
      <c r="J187" s="9">
        <v>4.2</v>
      </c>
      <c r="K187" s="9">
        <v>3</v>
      </c>
      <c r="L187" s="9">
        <v>0</v>
      </c>
      <c r="M187" s="9">
        <v>7</v>
      </c>
      <c r="N187" s="9">
        <v>0</v>
      </c>
      <c r="O187" s="13">
        <f t="shared" si="13"/>
        <v>1.958097152137892</v>
      </c>
      <c r="P187" s="13">
        <f t="shared" si="14"/>
        <v>0.87632687306230783</v>
      </c>
      <c r="Q187" s="13">
        <f t="shared" si="15"/>
        <v>1</v>
      </c>
      <c r="R187" s="13">
        <f t="shared" si="16"/>
        <v>1</v>
      </c>
      <c r="S187" s="13">
        <f t="shared" si="17"/>
        <v>0.12367312693769217</v>
      </c>
      <c r="T187" s="13">
        <f t="shared" si="18"/>
        <v>-2.0901132670188947</v>
      </c>
    </row>
    <row r="188" spans="1:20" x14ac:dyDescent="0.3">
      <c r="A188" s="9">
        <v>60</v>
      </c>
      <c r="B188" s="9">
        <v>0</v>
      </c>
      <c r="C188" s="9">
        <v>4</v>
      </c>
      <c r="D188" s="9">
        <v>158</v>
      </c>
      <c r="E188" s="9">
        <v>305</v>
      </c>
      <c r="F188" s="9">
        <v>0</v>
      </c>
      <c r="G188" s="9">
        <v>2</v>
      </c>
      <c r="H188" s="9">
        <v>161</v>
      </c>
      <c r="I188" s="9">
        <v>0</v>
      </c>
      <c r="J188" s="9">
        <v>0</v>
      </c>
      <c r="K188" s="9">
        <v>1</v>
      </c>
      <c r="L188" s="9">
        <v>0</v>
      </c>
      <c r="M188" s="9">
        <v>3</v>
      </c>
      <c r="N188" s="9">
        <v>1</v>
      </c>
      <c r="O188" s="13">
        <f t="shared" si="13"/>
        <v>-1.8316615955160209</v>
      </c>
      <c r="P188" s="13">
        <f t="shared" si="14"/>
        <v>0.1380404488272115</v>
      </c>
      <c r="Q188" s="13">
        <f t="shared" si="15"/>
        <v>0</v>
      </c>
      <c r="R188" s="13">
        <f t="shared" si="16"/>
        <v>1</v>
      </c>
      <c r="S188" s="13">
        <f t="shared" si="17"/>
        <v>0.1380404488272115</v>
      </c>
      <c r="T188" s="13">
        <f t="shared" si="18"/>
        <v>-1.9802085293289655</v>
      </c>
    </row>
    <row r="189" spans="1:20" x14ac:dyDescent="0.3">
      <c r="A189" s="9">
        <v>63</v>
      </c>
      <c r="B189" s="9">
        <v>0</v>
      </c>
      <c r="C189" s="9">
        <v>2</v>
      </c>
      <c r="D189" s="9">
        <v>140</v>
      </c>
      <c r="E189" s="9">
        <v>195</v>
      </c>
      <c r="F189" s="9">
        <v>0</v>
      </c>
      <c r="G189" s="9">
        <v>0</v>
      </c>
      <c r="H189" s="9">
        <v>179</v>
      </c>
      <c r="I189" s="9">
        <v>0</v>
      </c>
      <c r="J189" s="9">
        <v>0</v>
      </c>
      <c r="K189" s="9">
        <v>1</v>
      </c>
      <c r="L189" s="9">
        <v>2</v>
      </c>
      <c r="M189" s="9">
        <v>3</v>
      </c>
      <c r="N189" s="9">
        <v>0</v>
      </c>
      <c r="O189" s="13">
        <f t="shared" si="13"/>
        <v>-2.3341530989427781</v>
      </c>
      <c r="P189" s="13">
        <f t="shared" si="14"/>
        <v>8.833363853874289E-2</v>
      </c>
      <c r="Q189" s="13">
        <f t="shared" si="15"/>
        <v>0</v>
      </c>
      <c r="R189" s="13">
        <f t="shared" si="16"/>
        <v>0</v>
      </c>
      <c r="S189" s="13">
        <f t="shared" si="17"/>
        <v>0.91166636146125712</v>
      </c>
      <c r="T189" s="13">
        <f t="shared" si="18"/>
        <v>-9.248118757163569E-2</v>
      </c>
    </row>
    <row r="190" spans="1:20" x14ac:dyDescent="0.3">
      <c r="A190" s="9">
        <v>42</v>
      </c>
      <c r="B190" s="9">
        <v>1</v>
      </c>
      <c r="C190" s="9">
        <v>3</v>
      </c>
      <c r="D190" s="9">
        <v>120</v>
      </c>
      <c r="E190" s="9">
        <v>240</v>
      </c>
      <c r="F190" s="9">
        <v>1</v>
      </c>
      <c r="G190" s="9">
        <v>0</v>
      </c>
      <c r="H190" s="9">
        <v>194</v>
      </c>
      <c r="I190" s="9">
        <v>0</v>
      </c>
      <c r="J190" s="9">
        <v>0.8</v>
      </c>
      <c r="K190" s="9">
        <v>3</v>
      </c>
      <c r="L190" s="9">
        <v>0</v>
      </c>
      <c r="M190" s="9">
        <v>7</v>
      </c>
      <c r="N190" s="9">
        <v>0</v>
      </c>
      <c r="O190" s="13">
        <f t="shared" si="13"/>
        <v>-1.5593781645170637</v>
      </c>
      <c r="P190" s="13">
        <f t="shared" si="14"/>
        <v>0.17373589447086638</v>
      </c>
      <c r="Q190" s="13">
        <f t="shared" si="15"/>
        <v>0</v>
      </c>
      <c r="R190" s="13">
        <f t="shared" si="16"/>
        <v>0</v>
      </c>
      <c r="S190" s="13">
        <f t="shared" si="17"/>
        <v>0.82626410552913365</v>
      </c>
      <c r="T190" s="13">
        <f t="shared" si="18"/>
        <v>-0.19084081621717047</v>
      </c>
    </row>
    <row r="191" spans="1:20" x14ac:dyDescent="0.3">
      <c r="A191" s="9">
        <v>66</v>
      </c>
      <c r="B191" s="9">
        <v>1</v>
      </c>
      <c r="C191" s="9">
        <v>2</v>
      </c>
      <c r="D191" s="9">
        <v>160</v>
      </c>
      <c r="E191" s="9">
        <v>246</v>
      </c>
      <c r="F191" s="9">
        <v>0</v>
      </c>
      <c r="G191" s="9">
        <v>0</v>
      </c>
      <c r="H191" s="9">
        <v>120</v>
      </c>
      <c r="I191" s="9">
        <v>1</v>
      </c>
      <c r="J191" s="9">
        <v>0</v>
      </c>
      <c r="K191" s="9">
        <v>2</v>
      </c>
      <c r="L191" s="9">
        <v>3</v>
      </c>
      <c r="M191" s="9">
        <v>6</v>
      </c>
      <c r="N191" s="9">
        <v>1</v>
      </c>
      <c r="O191" s="13">
        <f t="shared" si="13"/>
        <v>4.6851139277020728</v>
      </c>
      <c r="P191" s="13">
        <f t="shared" si="14"/>
        <v>0.99085276159560831</v>
      </c>
      <c r="Q191" s="13">
        <f t="shared" si="15"/>
        <v>1</v>
      </c>
      <c r="R191" s="13">
        <f t="shared" si="16"/>
        <v>0</v>
      </c>
      <c r="S191" s="13">
        <f t="shared" si="17"/>
        <v>0.99085276159560831</v>
      </c>
      <c r="T191" s="13">
        <f t="shared" si="18"/>
        <v>-9.1893312752481873E-3</v>
      </c>
    </row>
    <row r="192" spans="1:20" x14ac:dyDescent="0.3">
      <c r="A192" s="9">
        <v>54</v>
      </c>
      <c r="B192" s="9">
        <v>1</v>
      </c>
      <c r="C192" s="9">
        <v>2</v>
      </c>
      <c r="D192" s="9">
        <v>192</v>
      </c>
      <c r="E192" s="9">
        <v>283</v>
      </c>
      <c r="F192" s="9">
        <v>0</v>
      </c>
      <c r="G192" s="9">
        <v>2</v>
      </c>
      <c r="H192" s="9">
        <v>195</v>
      </c>
      <c r="I192" s="9">
        <v>0</v>
      </c>
      <c r="J192" s="9">
        <v>0</v>
      </c>
      <c r="K192" s="9">
        <v>1</v>
      </c>
      <c r="L192" s="9">
        <v>1</v>
      </c>
      <c r="M192" s="9">
        <v>7</v>
      </c>
      <c r="N192" s="9">
        <v>1</v>
      </c>
      <c r="O192" s="13">
        <f t="shared" si="13"/>
        <v>1.0602771699651488</v>
      </c>
      <c r="P192" s="13">
        <f t="shared" si="14"/>
        <v>0.74274350928008859</v>
      </c>
      <c r="Q192" s="13">
        <f t="shared" si="15"/>
        <v>1</v>
      </c>
      <c r="R192" s="13">
        <f t="shared" si="16"/>
        <v>0</v>
      </c>
      <c r="S192" s="13">
        <f t="shared" si="17"/>
        <v>0.74274350928008859</v>
      </c>
      <c r="T192" s="13">
        <f t="shared" si="18"/>
        <v>-0.29740450344557556</v>
      </c>
    </row>
    <row r="193" spans="1:20" x14ac:dyDescent="0.3">
      <c r="A193" s="9">
        <v>69</v>
      </c>
      <c r="B193" s="9">
        <v>1</v>
      </c>
      <c r="C193" s="9">
        <v>3</v>
      </c>
      <c r="D193" s="9">
        <v>140</v>
      </c>
      <c r="E193" s="9">
        <v>254</v>
      </c>
      <c r="F193" s="9">
        <v>0</v>
      </c>
      <c r="G193" s="9">
        <v>2</v>
      </c>
      <c r="H193" s="9">
        <v>146</v>
      </c>
      <c r="I193" s="9">
        <v>0</v>
      </c>
      <c r="J193" s="9">
        <v>2</v>
      </c>
      <c r="K193" s="9">
        <v>2</v>
      </c>
      <c r="L193" s="9">
        <v>3</v>
      </c>
      <c r="M193" s="9">
        <v>7</v>
      </c>
      <c r="N193" s="9">
        <v>1</v>
      </c>
      <c r="O193" s="13">
        <f t="shared" si="13"/>
        <v>4.6432487723961273</v>
      </c>
      <c r="P193" s="13">
        <f t="shared" si="14"/>
        <v>0.99046541063533533</v>
      </c>
      <c r="Q193" s="13">
        <f t="shared" si="15"/>
        <v>1</v>
      </c>
      <c r="R193" s="13">
        <f t="shared" si="16"/>
        <v>0</v>
      </c>
      <c r="S193" s="13">
        <f t="shared" si="17"/>
        <v>0.99046541063533533</v>
      </c>
      <c r="T193" s="13">
        <f t="shared" si="18"/>
        <v>-9.5803345685474082E-3</v>
      </c>
    </row>
    <row r="194" spans="1:20" x14ac:dyDescent="0.3">
      <c r="A194" s="9">
        <v>50</v>
      </c>
      <c r="B194" s="9">
        <v>1</v>
      </c>
      <c r="C194" s="9">
        <v>3</v>
      </c>
      <c r="D194" s="9">
        <v>129</v>
      </c>
      <c r="E194" s="9">
        <v>196</v>
      </c>
      <c r="F194" s="9">
        <v>0</v>
      </c>
      <c r="G194" s="9">
        <v>0</v>
      </c>
      <c r="H194" s="9">
        <v>163</v>
      </c>
      <c r="I194" s="9">
        <v>0</v>
      </c>
      <c r="J194" s="9">
        <v>0</v>
      </c>
      <c r="K194" s="9">
        <v>1</v>
      </c>
      <c r="L194" s="9">
        <v>0</v>
      </c>
      <c r="M194" s="9">
        <v>3</v>
      </c>
      <c r="N194" s="9">
        <v>0</v>
      </c>
      <c r="O194" s="13">
        <f t="shared" si="13"/>
        <v>-2.7259573597645694</v>
      </c>
      <c r="P194" s="13">
        <f t="shared" si="14"/>
        <v>6.1458936331858123E-2</v>
      </c>
      <c r="Q194" s="13">
        <f t="shared" si="15"/>
        <v>0</v>
      </c>
      <c r="R194" s="13">
        <f t="shared" si="16"/>
        <v>0</v>
      </c>
      <c r="S194" s="13">
        <f t="shared" si="17"/>
        <v>0.93854106366814183</v>
      </c>
      <c r="T194" s="13">
        <f t="shared" si="18"/>
        <v>-6.3428669338305169E-2</v>
      </c>
    </row>
    <row r="195" spans="1:20" x14ac:dyDescent="0.3">
      <c r="A195" s="9">
        <v>51</v>
      </c>
      <c r="B195" s="9">
        <v>1</v>
      </c>
      <c r="C195" s="9">
        <v>4</v>
      </c>
      <c r="D195" s="9">
        <v>140</v>
      </c>
      <c r="E195" s="9">
        <v>298</v>
      </c>
      <c r="F195" s="9">
        <v>0</v>
      </c>
      <c r="G195" s="9">
        <v>0</v>
      </c>
      <c r="H195" s="9">
        <v>122</v>
      </c>
      <c r="I195" s="9">
        <v>1</v>
      </c>
      <c r="J195" s="9">
        <v>4.2</v>
      </c>
      <c r="K195" s="9">
        <v>2</v>
      </c>
      <c r="L195" s="9">
        <v>3</v>
      </c>
      <c r="M195" s="9">
        <v>7</v>
      </c>
      <c r="N195" s="9">
        <v>1</v>
      </c>
      <c r="O195" s="13">
        <f t="shared" si="13"/>
        <v>7.169777052493286</v>
      </c>
      <c r="P195" s="13">
        <f t="shared" si="14"/>
        <v>0.99923109739721305</v>
      </c>
      <c r="Q195" s="13">
        <f t="shared" si="15"/>
        <v>1</v>
      </c>
      <c r="R195" s="13">
        <f t="shared" si="16"/>
        <v>0</v>
      </c>
      <c r="S195" s="13">
        <f t="shared" si="17"/>
        <v>0.99923109739721305</v>
      </c>
      <c r="T195" s="13">
        <f t="shared" si="18"/>
        <v>-7.6919836000861668E-4</v>
      </c>
    </row>
    <row r="196" spans="1:20" x14ac:dyDescent="0.3">
      <c r="A196" s="9">
        <v>62</v>
      </c>
      <c r="B196" s="9">
        <v>0</v>
      </c>
      <c r="C196" s="9">
        <v>4</v>
      </c>
      <c r="D196" s="9">
        <v>138</v>
      </c>
      <c r="E196" s="9">
        <v>294</v>
      </c>
      <c r="F196" s="9">
        <v>1</v>
      </c>
      <c r="G196" s="9">
        <v>0</v>
      </c>
      <c r="H196" s="9">
        <v>106</v>
      </c>
      <c r="I196" s="9">
        <v>0</v>
      </c>
      <c r="J196" s="9">
        <v>1.9</v>
      </c>
      <c r="K196" s="9">
        <v>2</v>
      </c>
      <c r="L196" s="9">
        <v>3</v>
      </c>
      <c r="M196" s="9">
        <v>3</v>
      </c>
      <c r="N196" s="9">
        <v>1</v>
      </c>
      <c r="O196" s="13">
        <f t="shared" si="13"/>
        <v>2.0733531226459387</v>
      </c>
      <c r="P196" s="13">
        <f t="shared" si="14"/>
        <v>0.8882861382703473</v>
      </c>
      <c r="Q196" s="13">
        <f t="shared" si="15"/>
        <v>1</v>
      </c>
      <c r="R196" s="13">
        <f t="shared" si="16"/>
        <v>0</v>
      </c>
      <c r="S196" s="13">
        <f t="shared" si="17"/>
        <v>0.8882861382703473</v>
      </c>
      <c r="T196" s="13">
        <f t="shared" si="18"/>
        <v>-0.11846136011226638</v>
      </c>
    </row>
    <row r="197" spans="1:20" x14ac:dyDescent="0.3">
      <c r="A197" s="9">
        <v>68</v>
      </c>
      <c r="B197" s="9">
        <v>0</v>
      </c>
      <c r="C197" s="9">
        <v>3</v>
      </c>
      <c r="D197" s="9">
        <v>120</v>
      </c>
      <c r="E197" s="9">
        <v>211</v>
      </c>
      <c r="F197" s="9">
        <v>0</v>
      </c>
      <c r="G197" s="9">
        <v>2</v>
      </c>
      <c r="H197" s="9">
        <v>115</v>
      </c>
      <c r="I197" s="9">
        <v>0</v>
      </c>
      <c r="J197" s="9">
        <v>1.5</v>
      </c>
      <c r="K197" s="9">
        <v>2</v>
      </c>
      <c r="L197" s="9">
        <v>0</v>
      </c>
      <c r="M197" s="9">
        <v>3</v>
      </c>
      <c r="N197" s="9">
        <v>0</v>
      </c>
      <c r="O197" s="13">
        <f t="shared" si="13"/>
        <v>-2.0093853937846671</v>
      </c>
      <c r="P197" s="13">
        <f t="shared" si="14"/>
        <v>0.11822103229144562</v>
      </c>
      <c r="Q197" s="13">
        <f t="shared" si="15"/>
        <v>0</v>
      </c>
      <c r="R197" s="13">
        <f t="shared" si="16"/>
        <v>0</v>
      </c>
      <c r="S197" s="13">
        <f t="shared" si="17"/>
        <v>0.88177896770855435</v>
      </c>
      <c r="T197" s="13">
        <f t="shared" si="18"/>
        <v>-0.12581385788669167</v>
      </c>
    </row>
    <row r="198" spans="1:20" x14ac:dyDescent="0.3">
      <c r="A198" s="9">
        <v>67</v>
      </c>
      <c r="B198" s="9">
        <v>1</v>
      </c>
      <c r="C198" s="9">
        <v>4</v>
      </c>
      <c r="D198" s="9">
        <v>100</v>
      </c>
      <c r="E198" s="9">
        <v>299</v>
      </c>
      <c r="F198" s="9">
        <v>0</v>
      </c>
      <c r="G198" s="9">
        <v>2</v>
      </c>
      <c r="H198" s="9">
        <v>125</v>
      </c>
      <c r="I198" s="9">
        <v>1</v>
      </c>
      <c r="J198" s="9">
        <v>0.9</v>
      </c>
      <c r="K198" s="9">
        <v>2</v>
      </c>
      <c r="L198" s="9">
        <v>2</v>
      </c>
      <c r="M198" s="9">
        <v>3</v>
      </c>
      <c r="N198" s="9">
        <v>1</v>
      </c>
      <c r="O198" s="13">
        <f t="shared" si="13"/>
        <v>2.9554900668730859</v>
      </c>
      <c r="P198" s="13">
        <f t="shared" si="14"/>
        <v>0.95052232383932433</v>
      </c>
      <c r="Q198" s="13">
        <f t="shared" si="15"/>
        <v>1</v>
      </c>
      <c r="R198" s="13">
        <f t="shared" si="16"/>
        <v>0</v>
      </c>
      <c r="S198" s="13">
        <f t="shared" si="17"/>
        <v>0.95052232383932433</v>
      </c>
      <c r="T198" s="13">
        <f t="shared" si="18"/>
        <v>-5.074363091249072E-2</v>
      </c>
    </row>
    <row r="199" spans="1:20" x14ac:dyDescent="0.3">
      <c r="A199" s="9">
        <v>69</v>
      </c>
      <c r="B199" s="9">
        <v>1</v>
      </c>
      <c r="C199" s="9">
        <v>1</v>
      </c>
      <c r="D199" s="9">
        <v>160</v>
      </c>
      <c r="E199" s="9">
        <v>234</v>
      </c>
      <c r="F199" s="9">
        <v>1</v>
      </c>
      <c r="G199" s="9">
        <v>2</v>
      </c>
      <c r="H199" s="9">
        <v>131</v>
      </c>
      <c r="I199" s="9">
        <v>0</v>
      </c>
      <c r="J199" s="9">
        <v>0.1</v>
      </c>
      <c r="K199" s="9">
        <v>2</v>
      </c>
      <c r="L199" s="9">
        <v>1</v>
      </c>
      <c r="M199" s="9">
        <v>3</v>
      </c>
      <c r="N199" s="9">
        <v>0</v>
      </c>
      <c r="O199" s="13">
        <f t="shared" ref="O199:O262" si="19">SUMPRODUCT(A$4:M$4, A199:M199)+N$4</f>
        <v>-1.2196090461427218</v>
      </c>
      <c r="P199" s="13">
        <f t="shared" ref="P199:P262" si="20">1/(1+EXP(0-O199))</f>
        <v>0.22800525850798897</v>
      </c>
      <c r="Q199" s="13">
        <f t="shared" ref="Q199:Q262" si="21">IF(P199&lt;=0.5, 0, 1)</f>
        <v>0</v>
      </c>
      <c r="R199" s="13">
        <f t="shared" ref="R199:R262" si="22">IF(N199=Q199, 0, 1)</f>
        <v>0</v>
      </c>
      <c r="S199" s="13">
        <f t="shared" ref="S199:S262" si="23">IF(N199=1, P199, 1-P199)</f>
        <v>0.77199474149201097</v>
      </c>
      <c r="T199" s="13">
        <f t="shared" ref="T199:T262" si="24">IF(S199=0, -100000, LN(S199))</f>
        <v>-0.25877754051940544</v>
      </c>
    </row>
    <row r="200" spans="1:20" x14ac:dyDescent="0.3">
      <c r="A200" s="9">
        <v>45</v>
      </c>
      <c r="B200" s="9">
        <v>0</v>
      </c>
      <c r="C200" s="9">
        <v>4</v>
      </c>
      <c r="D200" s="9">
        <v>138</v>
      </c>
      <c r="E200" s="9">
        <v>236</v>
      </c>
      <c r="F200" s="9">
        <v>0</v>
      </c>
      <c r="G200" s="9">
        <v>2</v>
      </c>
      <c r="H200" s="9">
        <v>152</v>
      </c>
      <c r="I200" s="9">
        <v>1</v>
      </c>
      <c r="J200" s="9">
        <v>0.2</v>
      </c>
      <c r="K200" s="9">
        <v>2</v>
      </c>
      <c r="L200" s="9">
        <v>0</v>
      </c>
      <c r="M200" s="9">
        <v>3</v>
      </c>
      <c r="N200" s="9">
        <v>0</v>
      </c>
      <c r="O200" s="13">
        <f t="shared" si="19"/>
        <v>-0.71198557695775477</v>
      </c>
      <c r="P200" s="13">
        <f t="shared" si="20"/>
        <v>0.32916024880588801</v>
      </c>
      <c r="Q200" s="13">
        <f t="shared" si="21"/>
        <v>0</v>
      </c>
      <c r="R200" s="13">
        <f t="shared" si="22"/>
        <v>0</v>
      </c>
      <c r="S200" s="13">
        <f t="shared" si="23"/>
        <v>0.67083975119411199</v>
      </c>
      <c r="T200" s="13">
        <f t="shared" si="24"/>
        <v>-0.39922499140585771</v>
      </c>
    </row>
    <row r="201" spans="1:20" x14ac:dyDescent="0.3">
      <c r="A201" s="9">
        <v>50</v>
      </c>
      <c r="B201" s="9">
        <v>0</v>
      </c>
      <c r="C201" s="9">
        <v>2</v>
      </c>
      <c r="D201" s="9">
        <v>120</v>
      </c>
      <c r="E201" s="9">
        <v>244</v>
      </c>
      <c r="F201" s="9">
        <v>0</v>
      </c>
      <c r="G201" s="9">
        <v>0</v>
      </c>
      <c r="H201" s="9">
        <v>162</v>
      </c>
      <c r="I201" s="9">
        <v>0</v>
      </c>
      <c r="J201" s="9">
        <v>1.1000000000000001</v>
      </c>
      <c r="K201" s="9">
        <v>1</v>
      </c>
      <c r="L201" s="9">
        <v>0</v>
      </c>
      <c r="M201" s="9">
        <v>3</v>
      </c>
      <c r="N201" s="9">
        <v>0</v>
      </c>
      <c r="O201" s="13">
        <f t="shared" si="19"/>
        <v>-4.2971457046486687</v>
      </c>
      <c r="P201" s="13">
        <f t="shared" si="20"/>
        <v>1.3424668936248383E-2</v>
      </c>
      <c r="Q201" s="13">
        <f t="shared" si="21"/>
        <v>0</v>
      </c>
      <c r="R201" s="13">
        <f t="shared" si="22"/>
        <v>0</v>
      </c>
      <c r="S201" s="13">
        <f t="shared" si="23"/>
        <v>0.98657533106375161</v>
      </c>
      <c r="T201" s="13">
        <f t="shared" si="24"/>
        <v>-1.3515594484814644E-2</v>
      </c>
    </row>
    <row r="202" spans="1:20" x14ac:dyDescent="0.3">
      <c r="A202" s="9">
        <v>59</v>
      </c>
      <c r="B202" s="9">
        <v>1</v>
      </c>
      <c r="C202" s="9">
        <v>1</v>
      </c>
      <c r="D202" s="9">
        <v>160</v>
      </c>
      <c r="E202" s="9">
        <v>273</v>
      </c>
      <c r="F202" s="9">
        <v>0</v>
      </c>
      <c r="G202" s="9">
        <v>2</v>
      </c>
      <c r="H202" s="9">
        <v>125</v>
      </c>
      <c r="I202" s="9">
        <v>0</v>
      </c>
      <c r="J202" s="9">
        <v>0</v>
      </c>
      <c r="K202" s="9">
        <v>1</v>
      </c>
      <c r="L202" s="9">
        <v>0</v>
      </c>
      <c r="M202" s="9">
        <v>3</v>
      </c>
      <c r="N202" s="9">
        <v>1</v>
      </c>
      <c r="O202" s="13">
        <f t="shared" si="19"/>
        <v>-1.5996666876143948</v>
      </c>
      <c r="P202" s="13">
        <f t="shared" si="20"/>
        <v>0.16802820502449364</v>
      </c>
      <c r="Q202" s="13">
        <f t="shared" si="21"/>
        <v>0</v>
      </c>
      <c r="R202" s="13">
        <f t="shared" si="22"/>
        <v>1</v>
      </c>
      <c r="S202" s="13">
        <f t="shared" si="23"/>
        <v>0.16802820502449364</v>
      </c>
      <c r="T202" s="13">
        <f t="shared" si="24"/>
        <v>-1.7836234266197744</v>
      </c>
    </row>
    <row r="203" spans="1:20" x14ac:dyDescent="0.3">
      <c r="A203" s="9">
        <v>50</v>
      </c>
      <c r="B203" s="9">
        <v>0</v>
      </c>
      <c r="C203" s="9">
        <v>4</v>
      </c>
      <c r="D203" s="9">
        <v>110</v>
      </c>
      <c r="E203" s="9">
        <v>254</v>
      </c>
      <c r="F203" s="9">
        <v>0</v>
      </c>
      <c r="G203" s="9">
        <v>2</v>
      </c>
      <c r="H203" s="9">
        <v>159</v>
      </c>
      <c r="I203" s="9">
        <v>0</v>
      </c>
      <c r="J203" s="9">
        <v>0</v>
      </c>
      <c r="K203" s="9">
        <v>1</v>
      </c>
      <c r="L203" s="9">
        <v>0</v>
      </c>
      <c r="M203" s="9">
        <v>3</v>
      </c>
      <c r="N203" s="9">
        <v>0</v>
      </c>
      <c r="O203" s="13">
        <f t="shared" si="19"/>
        <v>-3.0555569464371963</v>
      </c>
      <c r="P203" s="13">
        <f t="shared" si="20"/>
        <v>4.4978169633432791E-2</v>
      </c>
      <c r="Q203" s="13">
        <f t="shared" si="21"/>
        <v>0</v>
      </c>
      <c r="R203" s="13">
        <f t="shared" si="22"/>
        <v>0</v>
      </c>
      <c r="S203" s="13">
        <f t="shared" si="23"/>
        <v>0.95502183036656718</v>
      </c>
      <c r="T203" s="13">
        <f t="shared" si="24"/>
        <v>-4.6021079740086845E-2</v>
      </c>
    </row>
    <row r="204" spans="1:20" x14ac:dyDescent="0.3">
      <c r="A204" s="9">
        <v>64</v>
      </c>
      <c r="B204" s="9">
        <v>0</v>
      </c>
      <c r="C204" s="9">
        <v>4</v>
      </c>
      <c r="D204" s="9">
        <v>180</v>
      </c>
      <c r="E204" s="9">
        <v>325</v>
      </c>
      <c r="F204" s="9">
        <v>0</v>
      </c>
      <c r="G204" s="9">
        <v>0</v>
      </c>
      <c r="H204" s="9">
        <v>154</v>
      </c>
      <c r="I204" s="9">
        <v>1</v>
      </c>
      <c r="J204" s="9">
        <v>0</v>
      </c>
      <c r="K204" s="9">
        <v>1</v>
      </c>
      <c r="L204" s="9">
        <v>0</v>
      </c>
      <c r="M204" s="9">
        <v>3</v>
      </c>
      <c r="N204" s="9">
        <v>0</v>
      </c>
      <c r="O204" s="13">
        <f t="shared" si="19"/>
        <v>-0.68024870339742094</v>
      </c>
      <c r="P204" s="13">
        <f t="shared" si="20"/>
        <v>0.33620579683477803</v>
      </c>
      <c r="Q204" s="13">
        <f t="shared" si="21"/>
        <v>0</v>
      </c>
      <c r="R204" s="13">
        <f t="shared" si="22"/>
        <v>0</v>
      </c>
      <c r="S204" s="13">
        <f t="shared" si="23"/>
        <v>0.66379420316522197</v>
      </c>
      <c r="T204" s="13">
        <f t="shared" si="24"/>
        <v>-0.40978311253761485</v>
      </c>
    </row>
    <row r="205" spans="1:20" x14ac:dyDescent="0.3">
      <c r="A205" s="9">
        <v>57</v>
      </c>
      <c r="B205" s="9">
        <v>1</v>
      </c>
      <c r="C205" s="9">
        <v>3</v>
      </c>
      <c r="D205" s="9">
        <v>150</v>
      </c>
      <c r="E205" s="9">
        <v>126</v>
      </c>
      <c r="F205" s="9">
        <v>1</v>
      </c>
      <c r="G205" s="9">
        <v>0</v>
      </c>
      <c r="H205" s="9">
        <v>173</v>
      </c>
      <c r="I205" s="9">
        <v>0</v>
      </c>
      <c r="J205" s="9">
        <v>0.2</v>
      </c>
      <c r="K205" s="9">
        <v>1</v>
      </c>
      <c r="L205" s="9">
        <v>1</v>
      </c>
      <c r="M205" s="9">
        <v>7</v>
      </c>
      <c r="N205" s="9">
        <v>0</v>
      </c>
      <c r="O205" s="13">
        <f t="shared" si="19"/>
        <v>-1.2051448420867219</v>
      </c>
      <c r="P205" s="13">
        <f t="shared" si="20"/>
        <v>0.23056124238311346</v>
      </c>
      <c r="Q205" s="13">
        <f t="shared" si="21"/>
        <v>0</v>
      </c>
      <c r="R205" s="13">
        <f t="shared" si="22"/>
        <v>0</v>
      </c>
      <c r="S205" s="13">
        <f t="shared" si="23"/>
        <v>0.76943875761688652</v>
      </c>
      <c r="T205" s="13">
        <f t="shared" si="24"/>
        <v>-0.26209391611294841</v>
      </c>
    </row>
    <row r="206" spans="1:20" x14ac:dyDescent="0.3">
      <c r="A206" s="9">
        <v>64</v>
      </c>
      <c r="B206" s="9">
        <v>0</v>
      </c>
      <c r="C206" s="9">
        <v>3</v>
      </c>
      <c r="D206" s="9">
        <v>140</v>
      </c>
      <c r="E206" s="9">
        <v>313</v>
      </c>
      <c r="F206" s="9">
        <v>0</v>
      </c>
      <c r="G206" s="9">
        <v>0</v>
      </c>
      <c r="H206" s="9">
        <v>133</v>
      </c>
      <c r="I206" s="9">
        <v>0</v>
      </c>
      <c r="J206" s="9">
        <v>0.2</v>
      </c>
      <c r="K206" s="9">
        <v>1</v>
      </c>
      <c r="L206" s="9">
        <v>0</v>
      </c>
      <c r="M206" s="9">
        <v>7</v>
      </c>
      <c r="N206" s="9">
        <v>0</v>
      </c>
      <c r="O206" s="13">
        <f t="shared" si="19"/>
        <v>-1.3424023776858593</v>
      </c>
      <c r="P206" s="13">
        <f t="shared" si="20"/>
        <v>0.20711526602735233</v>
      </c>
      <c r="Q206" s="13">
        <f t="shared" si="21"/>
        <v>0</v>
      </c>
      <c r="R206" s="13">
        <f t="shared" si="22"/>
        <v>0</v>
      </c>
      <c r="S206" s="13">
        <f t="shared" si="23"/>
        <v>0.79288473397264769</v>
      </c>
      <c r="T206" s="13">
        <f t="shared" si="24"/>
        <v>-0.23207742229732115</v>
      </c>
    </row>
    <row r="207" spans="1:20" x14ac:dyDescent="0.3">
      <c r="A207" s="9">
        <v>43</v>
      </c>
      <c r="B207" s="9">
        <v>1</v>
      </c>
      <c r="C207" s="9">
        <v>4</v>
      </c>
      <c r="D207" s="9">
        <v>110</v>
      </c>
      <c r="E207" s="9">
        <v>211</v>
      </c>
      <c r="F207" s="9">
        <v>0</v>
      </c>
      <c r="G207" s="9">
        <v>0</v>
      </c>
      <c r="H207" s="9">
        <v>161</v>
      </c>
      <c r="I207" s="9">
        <v>0</v>
      </c>
      <c r="J207" s="9">
        <v>0</v>
      </c>
      <c r="K207" s="9">
        <v>1</v>
      </c>
      <c r="L207" s="9">
        <v>0</v>
      </c>
      <c r="M207" s="9">
        <v>7</v>
      </c>
      <c r="N207" s="9">
        <v>0</v>
      </c>
      <c r="O207" s="13">
        <f t="shared" si="19"/>
        <v>-1.0153031189173678</v>
      </c>
      <c r="P207" s="13">
        <f t="shared" si="20"/>
        <v>0.26594330517413967</v>
      </c>
      <c r="Q207" s="13">
        <f t="shared" si="21"/>
        <v>0</v>
      </c>
      <c r="R207" s="13">
        <f t="shared" si="22"/>
        <v>0</v>
      </c>
      <c r="S207" s="13">
        <f t="shared" si="23"/>
        <v>0.73405669482586033</v>
      </c>
      <c r="T207" s="13">
        <f t="shared" si="24"/>
        <v>-0.30916901244338008</v>
      </c>
    </row>
    <row r="208" spans="1:20" x14ac:dyDescent="0.3">
      <c r="A208" s="9">
        <v>45</v>
      </c>
      <c r="B208" s="9">
        <v>1</v>
      </c>
      <c r="C208" s="9">
        <v>4</v>
      </c>
      <c r="D208" s="9">
        <v>142</v>
      </c>
      <c r="E208" s="9">
        <v>309</v>
      </c>
      <c r="F208" s="9">
        <v>0</v>
      </c>
      <c r="G208" s="9">
        <v>2</v>
      </c>
      <c r="H208" s="9">
        <v>147</v>
      </c>
      <c r="I208" s="9">
        <v>1</v>
      </c>
      <c r="J208" s="9">
        <v>0</v>
      </c>
      <c r="K208" s="9">
        <v>2</v>
      </c>
      <c r="L208" s="9">
        <v>3</v>
      </c>
      <c r="M208" s="9">
        <v>7</v>
      </c>
      <c r="N208" s="9">
        <v>1</v>
      </c>
      <c r="O208" s="13">
        <f t="shared" si="19"/>
        <v>6.2918524094143891</v>
      </c>
      <c r="P208" s="13">
        <f t="shared" si="20"/>
        <v>0.99815209372709235</v>
      </c>
      <c r="Q208" s="13">
        <f t="shared" si="21"/>
        <v>1</v>
      </c>
      <c r="R208" s="13">
        <f t="shared" si="22"/>
        <v>0</v>
      </c>
      <c r="S208" s="13">
        <f t="shared" si="23"/>
        <v>0.99815209372709235</v>
      </c>
      <c r="T208" s="13">
        <f t="shared" si="24"/>
        <v>-1.8496157580078279E-3</v>
      </c>
    </row>
    <row r="209" spans="1:20" x14ac:dyDescent="0.3">
      <c r="A209" s="9">
        <v>58</v>
      </c>
      <c r="B209" s="9">
        <v>1</v>
      </c>
      <c r="C209" s="9">
        <v>4</v>
      </c>
      <c r="D209" s="9">
        <v>128</v>
      </c>
      <c r="E209" s="9">
        <v>259</v>
      </c>
      <c r="F209" s="9">
        <v>0</v>
      </c>
      <c r="G209" s="9">
        <v>2</v>
      </c>
      <c r="H209" s="9">
        <v>130</v>
      </c>
      <c r="I209" s="9">
        <v>1</v>
      </c>
      <c r="J209" s="9">
        <v>3</v>
      </c>
      <c r="K209" s="9">
        <v>2</v>
      </c>
      <c r="L209" s="9">
        <v>2</v>
      </c>
      <c r="M209" s="9">
        <v>7</v>
      </c>
      <c r="N209" s="9">
        <v>1</v>
      </c>
      <c r="O209" s="13">
        <f t="shared" si="19"/>
        <v>5.3484155047486741</v>
      </c>
      <c r="P209" s="13">
        <f t="shared" si="20"/>
        <v>0.99526682906250397</v>
      </c>
      <c r="Q209" s="13">
        <f t="shared" si="21"/>
        <v>1</v>
      </c>
      <c r="R209" s="13">
        <f t="shared" si="22"/>
        <v>0</v>
      </c>
      <c r="S209" s="13">
        <f t="shared" si="23"/>
        <v>0.99526682906250397</v>
      </c>
      <c r="T209" s="13">
        <f t="shared" si="24"/>
        <v>-4.7444078626036664E-3</v>
      </c>
    </row>
    <row r="210" spans="1:20" x14ac:dyDescent="0.3">
      <c r="A210" s="9">
        <v>50</v>
      </c>
      <c r="B210" s="9">
        <v>1</v>
      </c>
      <c r="C210" s="9">
        <v>4</v>
      </c>
      <c r="D210" s="9">
        <v>144</v>
      </c>
      <c r="E210" s="9">
        <v>200</v>
      </c>
      <c r="F210" s="9">
        <v>0</v>
      </c>
      <c r="G210" s="9">
        <v>2</v>
      </c>
      <c r="H210" s="9">
        <v>126</v>
      </c>
      <c r="I210" s="9">
        <v>1</v>
      </c>
      <c r="J210" s="9">
        <v>0.9</v>
      </c>
      <c r="K210" s="9">
        <v>2</v>
      </c>
      <c r="L210" s="9">
        <v>0</v>
      </c>
      <c r="M210" s="9">
        <v>7</v>
      </c>
      <c r="N210" s="9">
        <v>1</v>
      </c>
      <c r="O210" s="13">
        <f t="shared" si="19"/>
        <v>2.58029153111538</v>
      </c>
      <c r="P210" s="13">
        <f t="shared" si="20"/>
        <v>0.92958235483268259</v>
      </c>
      <c r="Q210" s="13">
        <f t="shared" si="21"/>
        <v>1</v>
      </c>
      <c r="R210" s="13">
        <f t="shared" si="22"/>
        <v>0</v>
      </c>
      <c r="S210" s="13">
        <f t="shared" si="23"/>
        <v>0.92958235483268259</v>
      </c>
      <c r="T210" s="13">
        <f t="shared" si="24"/>
        <v>-7.3019874526901063E-2</v>
      </c>
    </row>
    <row r="211" spans="1:20" x14ac:dyDescent="0.3">
      <c r="A211" s="9">
        <v>55</v>
      </c>
      <c r="B211" s="9">
        <v>1</v>
      </c>
      <c r="C211" s="9">
        <v>2</v>
      </c>
      <c r="D211" s="9">
        <v>130</v>
      </c>
      <c r="E211" s="9">
        <v>262</v>
      </c>
      <c r="F211" s="9">
        <v>0</v>
      </c>
      <c r="G211" s="9">
        <v>0</v>
      </c>
      <c r="H211" s="9">
        <v>155</v>
      </c>
      <c r="I211" s="9">
        <v>0</v>
      </c>
      <c r="J211" s="9">
        <v>0</v>
      </c>
      <c r="K211" s="9">
        <v>1</v>
      </c>
      <c r="L211" s="9">
        <v>0</v>
      </c>
      <c r="M211" s="9">
        <v>3</v>
      </c>
      <c r="N211" s="9">
        <v>0</v>
      </c>
      <c r="O211" s="13">
        <f t="shared" si="19"/>
        <v>-2.8541275173248062</v>
      </c>
      <c r="P211" s="13">
        <f t="shared" si="20"/>
        <v>5.4468352345003232E-2</v>
      </c>
      <c r="Q211" s="13">
        <f t="shared" si="21"/>
        <v>0</v>
      </c>
      <c r="R211" s="13">
        <f t="shared" si="22"/>
        <v>0</v>
      </c>
      <c r="S211" s="13">
        <f t="shared" si="23"/>
        <v>0.94553164765499675</v>
      </c>
      <c r="T211" s="13">
        <f t="shared" si="24"/>
        <v>-5.6007919571773528E-2</v>
      </c>
    </row>
    <row r="212" spans="1:20" x14ac:dyDescent="0.3">
      <c r="A212" s="9">
        <v>62</v>
      </c>
      <c r="B212" s="9">
        <v>0</v>
      </c>
      <c r="C212" s="9">
        <v>4</v>
      </c>
      <c r="D212" s="9">
        <v>150</v>
      </c>
      <c r="E212" s="9">
        <v>244</v>
      </c>
      <c r="F212" s="9">
        <v>0</v>
      </c>
      <c r="G212" s="9">
        <v>0</v>
      </c>
      <c r="H212" s="9">
        <v>154</v>
      </c>
      <c r="I212" s="9">
        <v>1</v>
      </c>
      <c r="J212" s="9">
        <v>1.4</v>
      </c>
      <c r="K212" s="9">
        <v>2</v>
      </c>
      <c r="L212" s="9">
        <v>0</v>
      </c>
      <c r="M212" s="9">
        <v>3</v>
      </c>
      <c r="N212" s="9">
        <v>1</v>
      </c>
      <c r="O212" s="13">
        <f t="shared" si="19"/>
        <v>-0.86016540116994733</v>
      </c>
      <c r="P212" s="13">
        <f t="shared" si="20"/>
        <v>0.29730478976900732</v>
      </c>
      <c r="Q212" s="13">
        <f t="shared" si="21"/>
        <v>0</v>
      </c>
      <c r="R212" s="13">
        <f t="shared" si="22"/>
        <v>1</v>
      </c>
      <c r="S212" s="13">
        <f t="shared" si="23"/>
        <v>0.29730478976900732</v>
      </c>
      <c r="T212" s="13">
        <f t="shared" si="24"/>
        <v>-1.2129974382131203</v>
      </c>
    </row>
    <row r="213" spans="1:20" x14ac:dyDescent="0.3">
      <c r="A213" s="9">
        <v>37</v>
      </c>
      <c r="B213" s="9">
        <v>0</v>
      </c>
      <c r="C213" s="9">
        <v>3</v>
      </c>
      <c r="D213" s="9">
        <v>120</v>
      </c>
      <c r="E213" s="9">
        <v>215</v>
      </c>
      <c r="F213" s="9">
        <v>0</v>
      </c>
      <c r="G213" s="9">
        <v>0</v>
      </c>
      <c r="H213" s="9">
        <v>170</v>
      </c>
      <c r="I213" s="9">
        <v>0</v>
      </c>
      <c r="J213" s="9">
        <v>0</v>
      </c>
      <c r="K213" s="9">
        <v>1</v>
      </c>
      <c r="L213" s="9">
        <v>0</v>
      </c>
      <c r="M213" s="9">
        <v>3</v>
      </c>
      <c r="N213" s="9">
        <v>0</v>
      </c>
      <c r="O213" s="13">
        <f t="shared" si="19"/>
        <v>-4.1192186518210185</v>
      </c>
      <c r="P213" s="13">
        <f t="shared" si="20"/>
        <v>1.5997143076922758E-2</v>
      </c>
      <c r="Q213" s="13">
        <f t="shared" si="21"/>
        <v>0</v>
      </c>
      <c r="R213" s="13">
        <f t="shared" si="22"/>
        <v>0</v>
      </c>
      <c r="S213" s="13">
        <f t="shared" si="23"/>
        <v>0.98400285692307721</v>
      </c>
      <c r="T213" s="13">
        <f t="shared" si="24"/>
        <v>-1.6126478556987438E-2</v>
      </c>
    </row>
    <row r="214" spans="1:20" x14ac:dyDescent="0.3">
      <c r="A214" s="9">
        <v>38</v>
      </c>
      <c r="B214" s="9">
        <v>1</v>
      </c>
      <c r="C214" s="9">
        <v>1</v>
      </c>
      <c r="D214" s="9">
        <v>120</v>
      </c>
      <c r="E214" s="9">
        <v>231</v>
      </c>
      <c r="F214" s="9">
        <v>0</v>
      </c>
      <c r="G214" s="9">
        <v>0</v>
      </c>
      <c r="H214" s="9">
        <v>182</v>
      </c>
      <c r="I214" s="9">
        <v>1</v>
      </c>
      <c r="J214" s="9">
        <v>3.8</v>
      </c>
      <c r="K214" s="9">
        <v>2</v>
      </c>
      <c r="L214" s="9">
        <v>0</v>
      </c>
      <c r="M214" s="9">
        <v>7</v>
      </c>
      <c r="N214" s="9">
        <v>1</v>
      </c>
      <c r="O214" s="13">
        <f t="shared" si="19"/>
        <v>-0.33069094098803831</v>
      </c>
      <c r="P214" s="13">
        <f t="shared" si="20"/>
        <v>0.41807251607552187</v>
      </c>
      <c r="Q214" s="13">
        <f t="shared" si="21"/>
        <v>0</v>
      </c>
      <c r="R214" s="13">
        <f t="shared" si="22"/>
        <v>1</v>
      </c>
      <c r="S214" s="13">
        <f t="shared" si="23"/>
        <v>0.41807251607552187</v>
      </c>
      <c r="T214" s="13">
        <f t="shared" si="24"/>
        <v>-0.8721003780696287</v>
      </c>
    </row>
    <row r="215" spans="1:20" x14ac:dyDescent="0.3">
      <c r="A215" s="9">
        <v>41</v>
      </c>
      <c r="B215" s="9">
        <v>1</v>
      </c>
      <c r="C215" s="9">
        <v>3</v>
      </c>
      <c r="D215" s="9">
        <v>130</v>
      </c>
      <c r="E215" s="9">
        <v>214</v>
      </c>
      <c r="F215" s="9">
        <v>0</v>
      </c>
      <c r="G215" s="9">
        <v>2</v>
      </c>
      <c r="H215" s="9">
        <v>168</v>
      </c>
      <c r="I215" s="9">
        <v>0</v>
      </c>
      <c r="J215" s="9">
        <v>2</v>
      </c>
      <c r="K215" s="9">
        <v>2</v>
      </c>
      <c r="L215" s="9">
        <v>0</v>
      </c>
      <c r="M215" s="9">
        <v>3</v>
      </c>
      <c r="N215" s="9">
        <v>0</v>
      </c>
      <c r="O215" s="13">
        <f t="shared" si="19"/>
        <v>-1.0329787938264268</v>
      </c>
      <c r="P215" s="13">
        <f t="shared" si="20"/>
        <v>0.26250701054606213</v>
      </c>
      <c r="Q215" s="13">
        <f t="shared" si="21"/>
        <v>0</v>
      </c>
      <c r="R215" s="13">
        <f t="shared" si="22"/>
        <v>0</v>
      </c>
      <c r="S215" s="13">
        <f t="shared" si="23"/>
        <v>0.73749298945393793</v>
      </c>
      <c r="T215" s="13">
        <f t="shared" si="24"/>
        <v>-0.3044986966385117</v>
      </c>
    </row>
    <row r="216" spans="1:20" x14ac:dyDescent="0.3">
      <c r="A216" s="9">
        <v>66</v>
      </c>
      <c r="B216" s="9">
        <v>0</v>
      </c>
      <c r="C216" s="9">
        <v>4</v>
      </c>
      <c r="D216" s="9">
        <v>178</v>
      </c>
      <c r="E216" s="9">
        <v>228</v>
      </c>
      <c r="F216" s="9">
        <v>1</v>
      </c>
      <c r="G216" s="9">
        <v>0</v>
      </c>
      <c r="H216" s="9">
        <v>165</v>
      </c>
      <c r="I216" s="9">
        <v>1</v>
      </c>
      <c r="J216" s="9">
        <v>1</v>
      </c>
      <c r="K216" s="9">
        <v>2</v>
      </c>
      <c r="L216" s="9">
        <v>2</v>
      </c>
      <c r="M216" s="9">
        <v>7</v>
      </c>
      <c r="N216" s="9">
        <v>1</v>
      </c>
      <c r="O216" s="13">
        <f t="shared" si="19"/>
        <v>2.238903581238322</v>
      </c>
      <c r="P216" s="13">
        <f t="shared" si="20"/>
        <v>0.90368907356578976</v>
      </c>
      <c r="Q216" s="13">
        <f t="shared" si="21"/>
        <v>1</v>
      </c>
      <c r="R216" s="13">
        <f t="shared" si="22"/>
        <v>0</v>
      </c>
      <c r="S216" s="13">
        <f t="shared" si="23"/>
        <v>0.90368907356578976</v>
      </c>
      <c r="T216" s="13">
        <f t="shared" si="24"/>
        <v>-0.1012699229232535</v>
      </c>
    </row>
    <row r="217" spans="1:20" x14ac:dyDescent="0.3">
      <c r="A217" s="9">
        <v>52</v>
      </c>
      <c r="B217" s="9">
        <v>1</v>
      </c>
      <c r="C217" s="9">
        <v>4</v>
      </c>
      <c r="D217" s="9">
        <v>112</v>
      </c>
      <c r="E217" s="9">
        <v>230</v>
      </c>
      <c r="F217" s="9">
        <v>0</v>
      </c>
      <c r="G217" s="9">
        <v>0</v>
      </c>
      <c r="H217" s="9">
        <v>160</v>
      </c>
      <c r="I217" s="9">
        <v>0</v>
      </c>
      <c r="J217" s="9">
        <v>0</v>
      </c>
      <c r="K217" s="9">
        <v>1</v>
      </c>
      <c r="L217" s="9">
        <v>1</v>
      </c>
      <c r="M217" s="9">
        <v>3</v>
      </c>
      <c r="N217" s="9">
        <v>1</v>
      </c>
      <c r="O217" s="13">
        <f t="shared" si="19"/>
        <v>-1.0878740587516802</v>
      </c>
      <c r="P217" s="13">
        <f t="shared" si="20"/>
        <v>0.25201881834416101</v>
      </c>
      <c r="Q217" s="13">
        <f t="shared" si="21"/>
        <v>0</v>
      </c>
      <c r="R217" s="13">
        <f t="shared" si="22"/>
        <v>1</v>
      </c>
      <c r="S217" s="13">
        <f t="shared" si="23"/>
        <v>0.25201881834416101</v>
      </c>
      <c r="T217" s="13">
        <f t="shared" si="24"/>
        <v>-1.3782515182899322</v>
      </c>
    </row>
    <row r="218" spans="1:20" x14ac:dyDescent="0.3">
      <c r="A218" s="9">
        <v>56</v>
      </c>
      <c r="B218" s="9">
        <v>1</v>
      </c>
      <c r="C218" s="9">
        <v>1</v>
      </c>
      <c r="D218" s="9">
        <v>120</v>
      </c>
      <c r="E218" s="9">
        <v>193</v>
      </c>
      <c r="F218" s="9">
        <v>0</v>
      </c>
      <c r="G218" s="9">
        <v>2</v>
      </c>
      <c r="H218" s="9">
        <v>162</v>
      </c>
      <c r="I218" s="9">
        <v>0</v>
      </c>
      <c r="J218" s="9">
        <v>1.9</v>
      </c>
      <c r="K218" s="9">
        <v>2</v>
      </c>
      <c r="L218" s="9">
        <v>0</v>
      </c>
      <c r="M218" s="9">
        <v>7</v>
      </c>
      <c r="N218" s="9">
        <v>0</v>
      </c>
      <c r="O218" s="13">
        <f t="shared" si="19"/>
        <v>-1.2667728094468735</v>
      </c>
      <c r="P218" s="13">
        <f t="shared" si="20"/>
        <v>0.21981019438410754</v>
      </c>
      <c r="Q218" s="13">
        <f t="shared" si="21"/>
        <v>0</v>
      </c>
      <c r="R218" s="13">
        <f t="shared" si="22"/>
        <v>0</v>
      </c>
      <c r="S218" s="13">
        <f t="shared" si="23"/>
        <v>0.78018980561589246</v>
      </c>
      <c r="T218" s="13">
        <f t="shared" si="24"/>
        <v>-0.24821804836780947</v>
      </c>
    </row>
    <row r="219" spans="1:20" x14ac:dyDescent="0.3">
      <c r="A219" s="9">
        <v>46</v>
      </c>
      <c r="B219" s="9">
        <v>0</v>
      </c>
      <c r="C219" s="9">
        <v>2</v>
      </c>
      <c r="D219" s="9">
        <v>105</v>
      </c>
      <c r="E219" s="9">
        <v>204</v>
      </c>
      <c r="F219" s="9">
        <v>0</v>
      </c>
      <c r="G219" s="9">
        <v>0</v>
      </c>
      <c r="H219" s="9">
        <v>172</v>
      </c>
      <c r="I219" s="9">
        <v>0</v>
      </c>
      <c r="J219" s="9">
        <v>0</v>
      </c>
      <c r="K219" s="9">
        <v>1</v>
      </c>
      <c r="L219" s="9">
        <v>0</v>
      </c>
      <c r="M219" s="9">
        <v>3</v>
      </c>
      <c r="N219" s="9">
        <v>0</v>
      </c>
      <c r="O219" s="13">
        <f t="shared" si="19"/>
        <v>-5.2791524396866745</v>
      </c>
      <c r="P219" s="13">
        <f t="shared" si="20"/>
        <v>5.0709036426737925E-3</v>
      </c>
      <c r="Q219" s="13">
        <f t="shared" si="21"/>
        <v>0</v>
      </c>
      <c r="R219" s="13">
        <f t="shared" si="22"/>
        <v>0</v>
      </c>
      <c r="S219" s="13">
        <f t="shared" si="23"/>
        <v>0.99492909635732618</v>
      </c>
      <c r="T219" s="13">
        <f t="shared" si="24"/>
        <v>-5.0838043050403488E-3</v>
      </c>
    </row>
    <row r="220" spans="1:20" x14ac:dyDescent="0.3">
      <c r="A220" s="9">
        <v>46</v>
      </c>
      <c r="B220" s="9">
        <v>0</v>
      </c>
      <c r="C220" s="9">
        <v>4</v>
      </c>
      <c r="D220" s="9">
        <v>138</v>
      </c>
      <c r="E220" s="9">
        <v>243</v>
      </c>
      <c r="F220" s="9">
        <v>0</v>
      </c>
      <c r="G220" s="9">
        <v>2</v>
      </c>
      <c r="H220" s="9">
        <v>152</v>
      </c>
      <c r="I220" s="9">
        <v>1</v>
      </c>
      <c r="J220" s="9">
        <v>0</v>
      </c>
      <c r="K220" s="9">
        <v>2</v>
      </c>
      <c r="L220" s="9">
        <v>0</v>
      </c>
      <c r="M220" s="9">
        <v>3</v>
      </c>
      <c r="N220" s="9">
        <v>0</v>
      </c>
      <c r="O220" s="13">
        <f t="shared" si="19"/>
        <v>-0.7407727147215688</v>
      </c>
      <c r="P220" s="13">
        <f t="shared" si="20"/>
        <v>0.3228351954421339</v>
      </c>
      <c r="Q220" s="13">
        <f t="shared" si="21"/>
        <v>0</v>
      </c>
      <c r="R220" s="13">
        <f t="shared" si="22"/>
        <v>0</v>
      </c>
      <c r="S220" s="13">
        <f t="shared" si="23"/>
        <v>0.6771648045578661</v>
      </c>
      <c r="T220" s="13">
        <f t="shared" si="24"/>
        <v>-0.38984060207926202</v>
      </c>
    </row>
    <row r="221" spans="1:20" x14ac:dyDescent="0.3">
      <c r="A221" s="9">
        <v>64</v>
      </c>
      <c r="B221" s="9">
        <v>0</v>
      </c>
      <c r="C221" s="9">
        <v>4</v>
      </c>
      <c r="D221" s="9">
        <v>130</v>
      </c>
      <c r="E221" s="9">
        <v>303</v>
      </c>
      <c r="F221" s="9">
        <v>0</v>
      </c>
      <c r="G221" s="9">
        <v>0</v>
      </c>
      <c r="H221" s="9">
        <v>122</v>
      </c>
      <c r="I221" s="9">
        <v>0</v>
      </c>
      <c r="J221" s="9">
        <v>2</v>
      </c>
      <c r="K221" s="9">
        <v>2</v>
      </c>
      <c r="L221" s="9">
        <v>2</v>
      </c>
      <c r="M221" s="9">
        <v>3</v>
      </c>
      <c r="N221" s="9">
        <v>0</v>
      </c>
      <c r="O221" s="13">
        <f t="shared" si="19"/>
        <v>1.3451632963588569</v>
      </c>
      <c r="P221" s="13">
        <f t="shared" si="20"/>
        <v>0.79333776136603507</v>
      </c>
      <c r="Q221" s="13">
        <f t="shared" si="21"/>
        <v>1</v>
      </c>
      <c r="R221" s="13">
        <f t="shared" si="22"/>
        <v>1</v>
      </c>
      <c r="S221" s="13">
        <f t="shared" si="23"/>
        <v>0.20666223863396493</v>
      </c>
      <c r="T221" s="13">
        <f t="shared" si="24"/>
        <v>-1.5766695158053345</v>
      </c>
    </row>
    <row r="222" spans="1:20" x14ac:dyDescent="0.3">
      <c r="A222" s="9">
        <v>59</v>
      </c>
      <c r="B222" s="9">
        <v>1</v>
      </c>
      <c r="C222" s="9">
        <v>4</v>
      </c>
      <c r="D222" s="9">
        <v>138</v>
      </c>
      <c r="E222" s="9">
        <v>271</v>
      </c>
      <c r="F222" s="9">
        <v>0</v>
      </c>
      <c r="G222" s="9">
        <v>2</v>
      </c>
      <c r="H222" s="9">
        <v>182</v>
      </c>
      <c r="I222" s="9">
        <v>0</v>
      </c>
      <c r="J222" s="9">
        <v>0</v>
      </c>
      <c r="K222" s="9">
        <v>1</v>
      </c>
      <c r="L222" s="9">
        <v>0</v>
      </c>
      <c r="M222" s="9">
        <v>3</v>
      </c>
      <c r="N222" s="9">
        <v>0</v>
      </c>
      <c r="O222" s="13">
        <f t="shared" si="19"/>
        <v>-1.5906103404826393</v>
      </c>
      <c r="P222" s="13">
        <f t="shared" si="20"/>
        <v>0.16929804363200224</v>
      </c>
      <c r="Q222" s="13">
        <f t="shared" si="21"/>
        <v>0</v>
      </c>
      <c r="R222" s="13">
        <f t="shared" si="22"/>
        <v>0</v>
      </c>
      <c r="S222" s="13">
        <f t="shared" si="23"/>
        <v>0.83070195636799782</v>
      </c>
      <c r="T222" s="13">
        <f t="shared" si="24"/>
        <v>-0.18548420505622265</v>
      </c>
    </row>
    <row r="223" spans="1:20" x14ac:dyDescent="0.3">
      <c r="A223" s="9">
        <v>41</v>
      </c>
      <c r="B223" s="9">
        <v>0</v>
      </c>
      <c r="C223" s="9">
        <v>3</v>
      </c>
      <c r="D223" s="9">
        <v>112</v>
      </c>
      <c r="E223" s="9">
        <v>268</v>
      </c>
      <c r="F223" s="9">
        <v>0</v>
      </c>
      <c r="G223" s="9">
        <v>2</v>
      </c>
      <c r="H223" s="9">
        <v>172</v>
      </c>
      <c r="I223" s="9">
        <v>1</v>
      </c>
      <c r="J223" s="9">
        <v>0</v>
      </c>
      <c r="K223" s="9">
        <v>1</v>
      </c>
      <c r="L223" s="9">
        <v>0</v>
      </c>
      <c r="M223" s="9">
        <v>3</v>
      </c>
      <c r="N223" s="9">
        <v>0</v>
      </c>
      <c r="O223" s="13">
        <f t="shared" si="19"/>
        <v>-2.7290459708523205</v>
      </c>
      <c r="P223" s="13">
        <f t="shared" si="20"/>
        <v>6.1281021008782709E-2</v>
      </c>
      <c r="Q223" s="13">
        <f t="shared" si="21"/>
        <v>0</v>
      </c>
      <c r="R223" s="13">
        <f t="shared" si="22"/>
        <v>0</v>
      </c>
      <c r="S223" s="13">
        <f t="shared" si="23"/>
        <v>0.93871897899121726</v>
      </c>
      <c r="T223" s="13">
        <f t="shared" si="24"/>
        <v>-6.3239121465804696E-2</v>
      </c>
    </row>
    <row r="224" spans="1:20" x14ac:dyDescent="0.3">
      <c r="A224" s="9">
        <v>54</v>
      </c>
      <c r="B224" s="9">
        <v>0</v>
      </c>
      <c r="C224" s="9">
        <v>3</v>
      </c>
      <c r="D224" s="9">
        <v>108</v>
      </c>
      <c r="E224" s="9">
        <v>267</v>
      </c>
      <c r="F224" s="9">
        <v>0</v>
      </c>
      <c r="G224" s="9">
        <v>2</v>
      </c>
      <c r="H224" s="9">
        <v>167</v>
      </c>
      <c r="I224" s="9">
        <v>0</v>
      </c>
      <c r="J224" s="9">
        <v>0</v>
      </c>
      <c r="K224" s="9">
        <v>1</v>
      </c>
      <c r="L224" s="9">
        <v>0</v>
      </c>
      <c r="M224" s="9">
        <v>3</v>
      </c>
      <c r="N224" s="9">
        <v>0</v>
      </c>
      <c r="O224" s="13">
        <f t="shared" si="19"/>
        <v>-3.8368485406468427</v>
      </c>
      <c r="P224" s="13">
        <f t="shared" si="20"/>
        <v>2.110636077780623E-2</v>
      </c>
      <c r="Q224" s="13">
        <f t="shared" si="21"/>
        <v>0</v>
      </c>
      <c r="R224" s="13">
        <f t="shared" si="22"/>
        <v>0</v>
      </c>
      <c r="S224" s="13">
        <f t="shared" si="23"/>
        <v>0.97889363922219375</v>
      </c>
      <c r="T224" s="13">
        <f t="shared" si="24"/>
        <v>-2.1332284619004275E-2</v>
      </c>
    </row>
    <row r="225" spans="1:20" x14ac:dyDescent="0.3">
      <c r="A225" s="9">
        <v>39</v>
      </c>
      <c r="B225" s="9">
        <v>0</v>
      </c>
      <c r="C225" s="9">
        <v>3</v>
      </c>
      <c r="D225" s="9">
        <v>94</v>
      </c>
      <c r="E225" s="9">
        <v>199</v>
      </c>
      <c r="F225" s="9">
        <v>0</v>
      </c>
      <c r="G225" s="9">
        <v>0</v>
      </c>
      <c r="H225" s="9">
        <v>179</v>
      </c>
      <c r="I225" s="9">
        <v>0</v>
      </c>
      <c r="J225" s="9">
        <v>0</v>
      </c>
      <c r="K225" s="9">
        <v>1</v>
      </c>
      <c r="L225" s="9">
        <v>0</v>
      </c>
      <c r="M225" s="9">
        <v>3</v>
      </c>
      <c r="N225" s="9">
        <v>0</v>
      </c>
      <c r="O225" s="13">
        <f t="shared" si="19"/>
        <v>-5.0381409593033677</v>
      </c>
      <c r="P225" s="13">
        <f t="shared" si="20"/>
        <v>6.4440000138724389E-3</v>
      </c>
      <c r="Q225" s="13">
        <f t="shared" si="21"/>
        <v>0</v>
      </c>
      <c r="R225" s="13">
        <f t="shared" si="22"/>
        <v>0</v>
      </c>
      <c r="S225" s="13">
        <f t="shared" si="23"/>
        <v>0.99355599998612754</v>
      </c>
      <c r="T225" s="13">
        <f t="shared" si="24"/>
        <v>-6.4648522112731215E-3</v>
      </c>
    </row>
    <row r="226" spans="1:20" x14ac:dyDescent="0.3">
      <c r="A226" s="9">
        <v>53</v>
      </c>
      <c r="B226" s="9">
        <v>1</v>
      </c>
      <c r="C226" s="9">
        <v>4</v>
      </c>
      <c r="D226" s="9">
        <v>123</v>
      </c>
      <c r="E226" s="9">
        <v>282</v>
      </c>
      <c r="F226" s="9">
        <v>0</v>
      </c>
      <c r="G226" s="9">
        <v>0</v>
      </c>
      <c r="H226" s="9">
        <v>95</v>
      </c>
      <c r="I226" s="9">
        <v>1</v>
      </c>
      <c r="J226" s="9">
        <v>2</v>
      </c>
      <c r="K226" s="9">
        <v>2</v>
      </c>
      <c r="L226" s="9">
        <v>2</v>
      </c>
      <c r="M226" s="9">
        <v>7</v>
      </c>
      <c r="N226" s="9">
        <v>1</v>
      </c>
      <c r="O226" s="13">
        <f t="shared" si="19"/>
        <v>5.4001990996720917</v>
      </c>
      <c r="P226" s="13">
        <f t="shared" si="20"/>
        <v>0.9955046179325644</v>
      </c>
      <c r="Q226" s="13">
        <f t="shared" si="21"/>
        <v>1</v>
      </c>
      <c r="R226" s="13">
        <f t="shared" si="22"/>
        <v>0</v>
      </c>
      <c r="S226" s="13">
        <f t="shared" si="23"/>
        <v>0.9955046179325644</v>
      </c>
      <c r="T226" s="13">
        <f t="shared" si="24"/>
        <v>-4.5055166814485228E-3</v>
      </c>
    </row>
    <row r="227" spans="1:20" x14ac:dyDescent="0.3">
      <c r="A227" s="9">
        <v>63</v>
      </c>
      <c r="B227" s="9">
        <v>0</v>
      </c>
      <c r="C227" s="9">
        <v>4</v>
      </c>
      <c r="D227" s="9">
        <v>108</v>
      </c>
      <c r="E227" s="9">
        <v>269</v>
      </c>
      <c r="F227" s="9">
        <v>0</v>
      </c>
      <c r="G227" s="9">
        <v>0</v>
      </c>
      <c r="H227" s="9">
        <v>169</v>
      </c>
      <c r="I227" s="9">
        <v>1</v>
      </c>
      <c r="J227" s="9">
        <v>1.8</v>
      </c>
      <c r="K227" s="9">
        <v>2</v>
      </c>
      <c r="L227" s="9">
        <v>2</v>
      </c>
      <c r="M227" s="9">
        <v>3</v>
      </c>
      <c r="N227" s="9">
        <v>1</v>
      </c>
      <c r="O227" s="13">
        <f t="shared" si="19"/>
        <v>0.56504037755391501</v>
      </c>
      <c r="P227" s="13">
        <f t="shared" si="20"/>
        <v>0.63761798236349843</v>
      </c>
      <c r="Q227" s="13">
        <f t="shared" si="21"/>
        <v>1</v>
      </c>
      <c r="R227" s="13">
        <f t="shared" si="22"/>
        <v>0</v>
      </c>
      <c r="S227" s="13">
        <f t="shared" si="23"/>
        <v>0.63761798236349843</v>
      </c>
      <c r="T227" s="13">
        <f t="shared" si="24"/>
        <v>-0.4500159486988497</v>
      </c>
    </row>
    <row r="228" spans="1:20" x14ac:dyDescent="0.3">
      <c r="A228" s="9">
        <v>34</v>
      </c>
      <c r="B228" s="9">
        <v>0</v>
      </c>
      <c r="C228" s="9">
        <v>2</v>
      </c>
      <c r="D228" s="9">
        <v>118</v>
      </c>
      <c r="E228" s="9">
        <v>210</v>
      </c>
      <c r="F228" s="9">
        <v>0</v>
      </c>
      <c r="G228" s="9">
        <v>0</v>
      </c>
      <c r="H228" s="9">
        <v>192</v>
      </c>
      <c r="I228" s="9">
        <v>0</v>
      </c>
      <c r="J228" s="9">
        <v>0.7</v>
      </c>
      <c r="K228" s="9">
        <v>1</v>
      </c>
      <c r="L228" s="9">
        <v>0</v>
      </c>
      <c r="M228" s="9">
        <v>3</v>
      </c>
      <c r="N228" s="9">
        <v>0</v>
      </c>
      <c r="O228" s="13">
        <f t="shared" si="19"/>
        <v>-5.0074445262805778</v>
      </c>
      <c r="P228" s="13">
        <f t="shared" si="20"/>
        <v>6.6435406084988892E-3</v>
      </c>
      <c r="Q228" s="13">
        <f t="shared" si="21"/>
        <v>0</v>
      </c>
      <c r="R228" s="13">
        <f t="shared" si="22"/>
        <v>0</v>
      </c>
      <c r="S228" s="13">
        <f t="shared" si="23"/>
        <v>0.99335645939150108</v>
      </c>
      <c r="T228" s="13">
        <f t="shared" si="24"/>
        <v>-6.6657071551892658E-3</v>
      </c>
    </row>
    <row r="229" spans="1:20" x14ac:dyDescent="0.3">
      <c r="A229" s="9">
        <v>47</v>
      </c>
      <c r="B229" s="9">
        <v>1</v>
      </c>
      <c r="C229" s="9">
        <v>4</v>
      </c>
      <c r="D229" s="9">
        <v>112</v>
      </c>
      <c r="E229" s="9">
        <v>204</v>
      </c>
      <c r="F229" s="9">
        <v>0</v>
      </c>
      <c r="G229" s="9">
        <v>0</v>
      </c>
      <c r="H229" s="9">
        <v>143</v>
      </c>
      <c r="I229" s="9">
        <v>0</v>
      </c>
      <c r="J229" s="9">
        <v>0.1</v>
      </c>
      <c r="K229" s="9">
        <v>1</v>
      </c>
      <c r="L229" s="9">
        <v>0</v>
      </c>
      <c r="M229" s="9">
        <v>3</v>
      </c>
      <c r="N229" s="9">
        <v>0</v>
      </c>
      <c r="O229" s="13">
        <f t="shared" si="19"/>
        <v>-2.0375189510772671</v>
      </c>
      <c r="P229" s="13">
        <f t="shared" si="20"/>
        <v>0.11531960965209809</v>
      </c>
      <c r="Q229" s="13">
        <f t="shared" si="21"/>
        <v>0</v>
      </c>
      <c r="R229" s="13">
        <f t="shared" si="22"/>
        <v>0</v>
      </c>
      <c r="S229" s="13">
        <f t="shared" si="23"/>
        <v>0.88468039034790191</v>
      </c>
      <c r="T229" s="13">
        <f t="shared" si="24"/>
        <v>-0.12252884005109717</v>
      </c>
    </row>
    <row r="230" spans="1:20" x14ac:dyDescent="0.3">
      <c r="A230" s="9">
        <v>67</v>
      </c>
      <c r="B230" s="9">
        <v>0</v>
      </c>
      <c r="C230" s="9">
        <v>3</v>
      </c>
      <c r="D230" s="9">
        <v>152</v>
      </c>
      <c r="E230" s="9">
        <v>277</v>
      </c>
      <c r="F230" s="9">
        <v>0</v>
      </c>
      <c r="G230" s="9">
        <v>0</v>
      </c>
      <c r="H230" s="9">
        <v>172</v>
      </c>
      <c r="I230" s="9">
        <v>0</v>
      </c>
      <c r="J230" s="9">
        <v>0</v>
      </c>
      <c r="K230" s="9">
        <v>1</v>
      </c>
      <c r="L230" s="9">
        <v>1</v>
      </c>
      <c r="M230" s="9">
        <v>3</v>
      </c>
      <c r="N230" s="9">
        <v>0</v>
      </c>
      <c r="O230" s="13">
        <f t="shared" si="19"/>
        <v>-2.2410225953499783</v>
      </c>
      <c r="P230" s="13">
        <f t="shared" si="20"/>
        <v>9.612665546009122E-2</v>
      </c>
      <c r="Q230" s="13">
        <f t="shared" si="21"/>
        <v>0</v>
      </c>
      <c r="R230" s="13">
        <f t="shared" si="22"/>
        <v>0</v>
      </c>
      <c r="S230" s="13">
        <f t="shared" si="23"/>
        <v>0.90387334453990875</v>
      </c>
      <c r="T230" s="13">
        <f t="shared" si="24"/>
        <v>-0.10106603400311268</v>
      </c>
    </row>
    <row r="231" spans="1:20" x14ac:dyDescent="0.3">
      <c r="A231" s="9">
        <v>54</v>
      </c>
      <c r="B231" s="9">
        <v>1</v>
      </c>
      <c r="C231" s="9">
        <v>4</v>
      </c>
      <c r="D231" s="9">
        <v>110</v>
      </c>
      <c r="E231" s="9">
        <v>206</v>
      </c>
      <c r="F231" s="9">
        <v>0</v>
      </c>
      <c r="G231" s="9">
        <v>2</v>
      </c>
      <c r="H231" s="9">
        <v>108</v>
      </c>
      <c r="I231" s="9">
        <v>1</v>
      </c>
      <c r="J231" s="9">
        <v>0</v>
      </c>
      <c r="K231" s="9">
        <v>2</v>
      </c>
      <c r="L231" s="9">
        <v>1</v>
      </c>
      <c r="M231" s="9">
        <v>3</v>
      </c>
      <c r="N231" s="9">
        <v>1</v>
      </c>
      <c r="O231" s="13">
        <f t="shared" si="19"/>
        <v>1.7782703029790508</v>
      </c>
      <c r="P231" s="13">
        <f t="shared" si="20"/>
        <v>0.85548315193800895</v>
      </c>
      <c r="Q231" s="13">
        <f t="shared" si="21"/>
        <v>1</v>
      </c>
      <c r="R231" s="13">
        <f t="shared" si="22"/>
        <v>0</v>
      </c>
      <c r="S231" s="13">
        <f t="shared" si="23"/>
        <v>0.85548315193800895</v>
      </c>
      <c r="T231" s="13">
        <f t="shared" si="24"/>
        <v>-0.15608887966262364</v>
      </c>
    </row>
    <row r="232" spans="1:20" x14ac:dyDescent="0.3">
      <c r="A232" s="9">
        <v>66</v>
      </c>
      <c r="B232" s="9">
        <v>1</v>
      </c>
      <c r="C232" s="9">
        <v>4</v>
      </c>
      <c r="D232" s="9">
        <v>112</v>
      </c>
      <c r="E232" s="9">
        <v>212</v>
      </c>
      <c r="F232" s="9">
        <v>0</v>
      </c>
      <c r="G232" s="9">
        <v>2</v>
      </c>
      <c r="H232" s="9">
        <v>132</v>
      </c>
      <c r="I232" s="9">
        <v>1</v>
      </c>
      <c r="J232" s="9">
        <v>0.1</v>
      </c>
      <c r="K232" s="9">
        <v>1</v>
      </c>
      <c r="L232" s="9">
        <v>1</v>
      </c>
      <c r="M232" s="9">
        <v>3</v>
      </c>
      <c r="N232" s="9">
        <v>1</v>
      </c>
      <c r="O232" s="13">
        <f t="shared" si="19"/>
        <v>0.64438319047560455</v>
      </c>
      <c r="P232" s="13">
        <f t="shared" si="20"/>
        <v>0.65574361358286848</v>
      </c>
      <c r="Q232" s="13">
        <f t="shared" si="21"/>
        <v>1</v>
      </c>
      <c r="R232" s="13">
        <f t="shared" si="22"/>
        <v>0</v>
      </c>
      <c r="S232" s="13">
        <f t="shared" si="23"/>
        <v>0.65574361358286848</v>
      </c>
      <c r="T232" s="13">
        <f t="shared" si="24"/>
        <v>-0.42198539938609675</v>
      </c>
    </row>
    <row r="233" spans="1:20" x14ac:dyDescent="0.3">
      <c r="A233" s="9">
        <v>52</v>
      </c>
      <c r="B233" s="9">
        <v>0</v>
      </c>
      <c r="C233" s="9">
        <v>3</v>
      </c>
      <c r="D233" s="9">
        <v>136</v>
      </c>
      <c r="E233" s="9">
        <v>196</v>
      </c>
      <c r="F233" s="9">
        <v>0</v>
      </c>
      <c r="G233" s="9">
        <v>2</v>
      </c>
      <c r="H233" s="9">
        <v>169</v>
      </c>
      <c r="I233" s="9">
        <v>0</v>
      </c>
      <c r="J233" s="9">
        <v>0.1</v>
      </c>
      <c r="K233" s="9">
        <v>2</v>
      </c>
      <c r="L233" s="9">
        <v>0</v>
      </c>
      <c r="M233" s="9">
        <v>3</v>
      </c>
      <c r="N233" s="9">
        <v>0</v>
      </c>
      <c r="O233" s="13">
        <f t="shared" si="19"/>
        <v>-2.9367257133581415</v>
      </c>
      <c r="P233" s="13">
        <f t="shared" si="20"/>
        <v>5.0367654420433963E-2</v>
      </c>
      <c r="Q233" s="13">
        <f t="shared" si="21"/>
        <v>0</v>
      </c>
      <c r="R233" s="13">
        <f t="shared" si="22"/>
        <v>0</v>
      </c>
      <c r="S233" s="13">
        <f t="shared" si="23"/>
        <v>0.949632345579566</v>
      </c>
      <c r="T233" s="13">
        <f t="shared" si="24"/>
        <v>-5.168037394626622E-2</v>
      </c>
    </row>
    <row r="234" spans="1:20" x14ac:dyDescent="0.3">
      <c r="A234" s="9">
        <v>55</v>
      </c>
      <c r="B234" s="9">
        <v>0</v>
      </c>
      <c r="C234" s="9">
        <v>4</v>
      </c>
      <c r="D234" s="9">
        <v>180</v>
      </c>
      <c r="E234" s="9">
        <v>327</v>
      </c>
      <c r="F234" s="9">
        <v>0</v>
      </c>
      <c r="G234" s="9">
        <v>1</v>
      </c>
      <c r="H234" s="9">
        <v>117</v>
      </c>
      <c r="I234" s="9">
        <v>1</v>
      </c>
      <c r="J234" s="9">
        <v>3.4</v>
      </c>
      <c r="K234" s="9">
        <v>2</v>
      </c>
      <c r="L234" s="9">
        <v>0</v>
      </c>
      <c r="M234" s="9">
        <v>3</v>
      </c>
      <c r="N234" s="9">
        <v>1</v>
      </c>
      <c r="O234" s="13">
        <f t="shared" si="19"/>
        <v>1.8792663303779005</v>
      </c>
      <c r="P234" s="13">
        <f t="shared" si="20"/>
        <v>0.86752683292338129</v>
      </c>
      <c r="Q234" s="13">
        <f t="shared" si="21"/>
        <v>1</v>
      </c>
      <c r="R234" s="13">
        <f t="shared" si="22"/>
        <v>0</v>
      </c>
      <c r="S234" s="13">
        <f t="shared" si="23"/>
        <v>0.86752683292338129</v>
      </c>
      <c r="T234" s="13">
        <f t="shared" si="24"/>
        <v>-0.14210883631570387</v>
      </c>
    </row>
    <row r="235" spans="1:20" x14ac:dyDescent="0.3">
      <c r="A235" s="9">
        <v>49</v>
      </c>
      <c r="B235" s="9">
        <v>1</v>
      </c>
      <c r="C235" s="9">
        <v>3</v>
      </c>
      <c r="D235" s="9">
        <v>118</v>
      </c>
      <c r="E235" s="9">
        <v>149</v>
      </c>
      <c r="F235" s="9">
        <v>0</v>
      </c>
      <c r="G235" s="9">
        <v>2</v>
      </c>
      <c r="H235" s="9">
        <v>126</v>
      </c>
      <c r="I235" s="9">
        <v>0</v>
      </c>
      <c r="J235" s="9">
        <v>0.8</v>
      </c>
      <c r="K235" s="9">
        <v>1</v>
      </c>
      <c r="L235" s="9">
        <v>3</v>
      </c>
      <c r="M235" s="9">
        <v>3</v>
      </c>
      <c r="N235" s="9">
        <v>1</v>
      </c>
      <c r="O235" s="13">
        <f t="shared" si="19"/>
        <v>2.0468148089586471</v>
      </c>
      <c r="P235" s="13">
        <f t="shared" si="20"/>
        <v>0.88562537702442279</v>
      </c>
      <c r="Q235" s="13">
        <f t="shared" si="21"/>
        <v>1</v>
      </c>
      <c r="R235" s="13">
        <f t="shared" si="22"/>
        <v>0</v>
      </c>
      <c r="S235" s="13">
        <f t="shared" si="23"/>
        <v>0.88562537702442279</v>
      </c>
      <c r="T235" s="13">
        <f t="shared" si="24"/>
        <v>-0.1214612428216325</v>
      </c>
    </row>
    <row r="236" spans="1:20" x14ac:dyDescent="0.3">
      <c r="A236" s="9">
        <v>74</v>
      </c>
      <c r="B236" s="9">
        <v>0</v>
      </c>
      <c r="C236" s="9">
        <v>2</v>
      </c>
      <c r="D236" s="9">
        <v>120</v>
      </c>
      <c r="E236" s="9">
        <v>269</v>
      </c>
      <c r="F236" s="9">
        <v>0</v>
      </c>
      <c r="G236" s="9">
        <v>2</v>
      </c>
      <c r="H236" s="9">
        <v>121</v>
      </c>
      <c r="I236" s="9">
        <v>1</v>
      </c>
      <c r="J236" s="9">
        <v>0.2</v>
      </c>
      <c r="K236" s="9">
        <v>1</v>
      </c>
      <c r="L236" s="9">
        <v>1</v>
      </c>
      <c r="M236" s="9">
        <v>3</v>
      </c>
      <c r="N236" s="9">
        <v>0</v>
      </c>
      <c r="O236" s="13">
        <f t="shared" si="19"/>
        <v>-1.203267894536296</v>
      </c>
      <c r="P236" s="13">
        <f t="shared" si="20"/>
        <v>0.23089438643183682</v>
      </c>
      <c r="Q236" s="13">
        <f t="shared" si="21"/>
        <v>0</v>
      </c>
      <c r="R236" s="13">
        <f t="shared" si="22"/>
        <v>0</v>
      </c>
      <c r="S236" s="13">
        <f t="shared" si="23"/>
        <v>0.7691056135681632</v>
      </c>
      <c r="T236" s="13">
        <f t="shared" si="24"/>
        <v>-0.26252698006634395</v>
      </c>
    </row>
    <row r="237" spans="1:20" x14ac:dyDescent="0.3">
      <c r="A237" s="9">
        <v>54</v>
      </c>
      <c r="B237" s="9">
        <v>0</v>
      </c>
      <c r="C237" s="9">
        <v>3</v>
      </c>
      <c r="D237" s="9">
        <v>160</v>
      </c>
      <c r="E237" s="9">
        <v>201</v>
      </c>
      <c r="F237" s="9">
        <v>0</v>
      </c>
      <c r="G237" s="9">
        <v>0</v>
      </c>
      <c r="H237" s="9">
        <v>163</v>
      </c>
      <c r="I237" s="9">
        <v>0</v>
      </c>
      <c r="J237" s="9">
        <v>0</v>
      </c>
      <c r="K237" s="9">
        <v>1</v>
      </c>
      <c r="L237" s="9">
        <v>1</v>
      </c>
      <c r="M237" s="9">
        <v>3</v>
      </c>
      <c r="N237" s="9">
        <v>0</v>
      </c>
      <c r="O237" s="13">
        <f t="shared" si="19"/>
        <v>-2.0568773133591289</v>
      </c>
      <c r="P237" s="13">
        <f t="shared" si="20"/>
        <v>0.11335930937343351</v>
      </c>
      <c r="Q237" s="13">
        <f t="shared" si="21"/>
        <v>0</v>
      </c>
      <c r="R237" s="13">
        <f t="shared" si="22"/>
        <v>0</v>
      </c>
      <c r="S237" s="13">
        <f t="shared" si="23"/>
        <v>0.88664069062656647</v>
      </c>
      <c r="T237" s="13">
        <f t="shared" si="24"/>
        <v>-0.12031546258947383</v>
      </c>
    </row>
    <row r="238" spans="1:20" x14ac:dyDescent="0.3">
      <c r="A238" s="9">
        <v>54</v>
      </c>
      <c r="B238" s="9">
        <v>1</v>
      </c>
      <c r="C238" s="9">
        <v>4</v>
      </c>
      <c r="D238" s="9">
        <v>122</v>
      </c>
      <c r="E238" s="9">
        <v>286</v>
      </c>
      <c r="F238" s="9">
        <v>0</v>
      </c>
      <c r="G238" s="9">
        <v>2</v>
      </c>
      <c r="H238" s="9">
        <v>116</v>
      </c>
      <c r="I238" s="9">
        <v>1</v>
      </c>
      <c r="J238" s="9">
        <v>3.2</v>
      </c>
      <c r="K238" s="9">
        <v>2</v>
      </c>
      <c r="L238" s="9">
        <v>2</v>
      </c>
      <c r="M238" s="9">
        <v>3</v>
      </c>
      <c r="N238" s="9">
        <v>1</v>
      </c>
      <c r="O238" s="13">
        <f t="shared" si="19"/>
        <v>4.3589257751085171</v>
      </c>
      <c r="P238" s="13">
        <f t="shared" si="20"/>
        <v>0.98736944965241669</v>
      </c>
      <c r="Q238" s="13">
        <f t="shared" si="21"/>
        <v>1</v>
      </c>
      <c r="R238" s="13">
        <f t="shared" si="22"/>
        <v>0</v>
      </c>
      <c r="S238" s="13">
        <f t="shared" si="23"/>
        <v>0.98736944965241669</v>
      </c>
      <c r="T238" s="13">
        <f t="shared" si="24"/>
        <v>-1.2710993830060283E-2</v>
      </c>
    </row>
    <row r="239" spans="1:20" x14ac:dyDescent="0.3">
      <c r="A239" s="9">
        <v>56</v>
      </c>
      <c r="B239" s="9">
        <v>1</v>
      </c>
      <c r="C239" s="9">
        <v>4</v>
      </c>
      <c r="D239" s="9">
        <v>130</v>
      </c>
      <c r="E239" s="9">
        <v>283</v>
      </c>
      <c r="F239" s="9">
        <v>1</v>
      </c>
      <c r="G239" s="9">
        <v>2</v>
      </c>
      <c r="H239" s="9">
        <v>103</v>
      </c>
      <c r="I239" s="9">
        <v>1</v>
      </c>
      <c r="J239" s="9">
        <v>1.6</v>
      </c>
      <c r="K239" s="9">
        <v>3</v>
      </c>
      <c r="L239" s="9">
        <v>0</v>
      </c>
      <c r="M239" s="9">
        <v>7</v>
      </c>
      <c r="N239" s="9">
        <v>1</v>
      </c>
      <c r="O239" s="13">
        <f t="shared" si="19"/>
        <v>2.7698016303846504</v>
      </c>
      <c r="P239" s="13">
        <f t="shared" si="20"/>
        <v>0.94102197806107135</v>
      </c>
      <c r="Q239" s="13">
        <f t="shared" si="21"/>
        <v>1</v>
      </c>
      <c r="R239" s="13">
        <f t="shared" si="22"/>
        <v>0</v>
      </c>
      <c r="S239" s="13">
        <f t="shared" si="23"/>
        <v>0.94102197806107135</v>
      </c>
      <c r="T239" s="13">
        <f t="shared" si="24"/>
        <v>-6.0788783600354876E-2</v>
      </c>
    </row>
    <row r="240" spans="1:20" x14ac:dyDescent="0.3">
      <c r="A240" s="9">
        <v>46</v>
      </c>
      <c r="B240" s="9">
        <v>1</v>
      </c>
      <c r="C240" s="9">
        <v>4</v>
      </c>
      <c r="D240" s="9">
        <v>120</v>
      </c>
      <c r="E240" s="9">
        <v>249</v>
      </c>
      <c r="F240" s="9">
        <v>0</v>
      </c>
      <c r="G240" s="9">
        <v>2</v>
      </c>
      <c r="H240" s="9">
        <v>144</v>
      </c>
      <c r="I240" s="9">
        <v>0</v>
      </c>
      <c r="J240" s="9">
        <v>0.8</v>
      </c>
      <c r="K240" s="9">
        <v>1</v>
      </c>
      <c r="L240" s="9">
        <v>0</v>
      </c>
      <c r="M240" s="9">
        <v>7</v>
      </c>
      <c r="N240" s="9">
        <v>1</v>
      </c>
      <c r="O240" s="13">
        <f t="shared" si="19"/>
        <v>0.4120697024257467</v>
      </c>
      <c r="P240" s="13">
        <f t="shared" si="20"/>
        <v>0.6015840506769019</v>
      </c>
      <c r="Q240" s="13">
        <f t="shared" si="21"/>
        <v>1</v>
      </c>
      <c r="R240" s="13">
        <f t="shared" si="22"/>
        <v>0</v>
      </c>
      <c r="S240" s="13">
        <f t="shared" si="23"/>
        <v>0.6015840506769019</v>
      </c>
      <c r="T240" s="13">
        <f t="shared" si="24"/>
        <v>-0.50818901820575257</v>
      </c>
    </row>
    <row r="241" spans="1:20" x14ac:dyDescent="0.3">
      <c r="A241" s="9">
        <v>49</v>
      </c>
      <c r="B241" s="9">
        <v>0</v>
      </c>
      <c r="C241" s="9">
        <v>2</v>
      </c>
      <c r="D241" s="9">
        <v>134</v>
      </c>
      <c r="E241" s="9">
        <v>271</v>
      </c>
      <c r="F241" s="9">
        <v>0</v>
      </c>
      <c r="G241" s="9">
        <v>0</v>
      </c>
      <c r="H241" s="9">
        <v>162</v>
      </c>
      <c r="I241" s="9">
        <v>0</v>
      </c>
      <c r="J241" s="9">
        <v>0</v>
      </c>
      <c r="K241" s="9">
        <v>2</v>
      </c>
      <c r="L241" s="9">
        <v>0</v>
      </c>
      <c r="M241" s="9">
        <v>3</v>
      </c>
      <c r="N241" s="9">
        <v>0</v>
      </c>
      <c r="O241" s="13">
        <f t="shared" si="19"/>
        <v>-3.5146457892557943</v>
      </c>
      <c r="P241" s="13">
        <f t="shared" si="20"/>
        <v>2.8898374117113369E-2</v>
      </c>
      <c r="Q241" s="13">
        <f t="shared" si="21"/>
        <v>0</v>
      </c>
      <c r="R241" s="13">
        <f t="shared" si="22"/>
        <v>0</v>
      </c>
      <c r="S241" s="13">
        <f t="shared" si="23"/>
        <v>0.97110162588288662</v>
      </c>
      <c r="T241" s="13">
        <f t="shared" si="24"/>
        <v>-2.9324155113961799E-2</v>
      </c>
    </row>
    <row r="242" spans="1:20" x14ac:dyDescent="0.3">
      <c r="A242" s="9">
        <v>42</v>
      </c>
      <c r="B242" s="9">
        <v>1</v>
      </c>
      <c r="C242" s="9">
        <v>2</v>
      </c>
      <c r="D242" s="9">
        <v>120</v>
      </c>
      <c r="E242" s="9">
        <v>295</v>
      </c>
      <c r="F242" s="9">
        <v>0</v>
      </c>
      <c r="G242" s="9">
        <v>0</v>
      </c>
      <c r="H242" s="9">
        <v>162</v>
      </c>
      <c r="I242" s="9">
        <v>0</v>
      </c>
      <c r="J242" s="9">
        <v>0</v>
      </c>
      <c r="K242" s="9">
        <v>1</v>
      </c>
      <c r="L242" s="9">
        <v>0</v>
      </c>
      <c r="M242" s="9">
        <v>3</v>
      </c>
      <c r="N242" s="9">
        <v>0</v>
      </c>
      <c r="O242" s="13">
        <f t="shared" si="19"/>
        <v>-2.8903145584206573</v>
      </c>
      <c r="P242" s="13">
        <f t="shared" si="20"/>
        <v>5.2634431071761682E-2</v>
      </c>
      <c r="Q242" s="13">
        <f t="shared" si="21"/>
        <v>0</v>
      </c>
      <c r="R242" s="13">
        <f t="shared" si="22"/>
        <v>0</v>
      </c>
      <c r="S242" s="13">
        <f t="shared" si="23"/>
        <v>0.94736556892823831</v>
      </c>
      <c r="T242" s="13">
        <f t="shared" si="24"/>
        <v>-5.4070231850556011E-2</v>
      </c>
    </row>
    <row r="243" spans="1:20" x14ac:dyDescent="0.3">
      <c r="A243" s="9">
        <v>41</v>
      </c>
      <c r="B243" s="9">
        <v>1</v>
      </c>
      <c r="C243" s="9">
        <v>2</v>
      </c>
      <c r="D243" s="9">
        <v>110</v>
      </c>
      <c r="E243" s="9">
        <v>235</v>
      </c>
      <c r="F243" s="9">
        <v>0</v>
      </c>
      <c r="G243" s="9">
        <v>0</v>
      </c>
      <c r="H243" s="9">
        <v>153</v>
      </c>
      <c r="I243" s="9">
        <v>0</v>
      </c>
      <c r="J243" s="9">
        <v>0</v>
      </c>
      <c r="K243" s="9">
        <v>1</v>
      </c>
      <c r="L243" s="9">
        <v>0</v>
      </c>
      <c r="M243" s="9">
        <v>3</v>
      </c>
      <c r="N243" s="9">
        <v>0</v>
      </c>
      <c r="O243" s="13">
        <f t="shared" si="19"/>
        <v>-3.2290762936024819</v>
      </c>
      <c r="P243" s="13">
        <f t="shared" si="20"/>
        <v>3.8086073103961171E-2</v>
      </c>
      <c r="Q243" s="13">
        <f t="shared" si="21"/>
        <v>0</v>
      </c>
      <c r="R243" s="13">
        <f t="shared" si="22"/>
        <v>0</v>
      </c>
      <c r="S243" s="13">
        <f t="shared" si="23"/>
        <v>0.96191392689603883</v>
      </c>
      <c r="T243" s="13">
        <f t="shared" si="24"/>
        <v>-3.8830305400426167E-2</v>
      </c>
    </row>
    <row r="244" spans="1:20" x14ac:dyDescent="0.3">
      <c r="A244" s="9">
        <v>41</v>
      </c>
      <c r="B244" s="9">
        <v>0</v>
      </c>
      <c r="C244" s="9">
        <v>2</v>
      </c>
      <c r="D244" s="9">
        <v>126</v>
      </c>
      <c r="E244" s="9">
        <v>306</v>
      </c>
      <c r="F244" s="9">
        <v>0</v>
      </c>
      <c r="G244" s="9">
        <v>0</v>
      </c>
      <c r="H244" s="9">
        <v>163</v>
      </c>
      <c r="I244" s="9">
        <v>0</v>
      </c>
      <c r="J244" s="9">
        <v>0</v>
      </c>
      <c r="K244" s="9">
        <v>1</v>
      </c>
      <c r="L244" s="9">
        <v>0</v>
      </c>
      <c r="M244" s="9">
        <v>3</v>
      </c>
      <c r="N244" s="9">
        <v>0</v>
      </c>
      <c r="O244" s="13">
        <f t="shared" si="19"/>
        <v>-4.0092074586585156</v>
      </c>
      <c r="P244" s="13">
        <f t="shared" si="20"/>
        <v>1.7824301040238886E-2</v>
      </c>
      <c r="Q244" s="13">
        <f t="shared" si="21"/>
        <v>0</v>
      </c>
      <c r="R244" s="13">
        <f t="shared" si="22"/>
        <v>0</v>
      </c>
      <c r="S244" s="13">
        <f t="shared" si="23"/>
        <v>0.98217569895976109</v>
      </c>
      <c r="T244" s="13">
        <f t="shared" si="24"/>
        <v>-1.7985067120899579E-2</v>
      </c>
    </row>
    <row r="245" spans="1:20" x14ac:dyDescent="0.3">
      <c r="A245" s="9">
        <v>49</v>
      </c>
      <c r="B245" s="9">
        <v>0</v>
      </c>
      <c r="C245" s="9">
        <v>4</v>
      </c>
      <c r="D245" s="9">
        <v>130</v>
      </c>
      <c r="E245" s="9">
        <v>269</v>
      </c>
      <c r="F245" s="9">
        <v>0</v>
      </c>
      <c r="G245" s="9">
        <v>0</v>
      </c>
      <c r="H245" s="9">
        <v>163</v>
      </c>
      <c r="I245" s="9">
        <v>0</v>
      </c>
      <c r="J245" s="9">
        <v>0</v>
      </c>
      <c r="K245" s="9">
        <v>1</v>
      </c>
      <c r="L245" s="9">
        <v>0</v>
      </c>
      <c r="M245" s="9">
        <v>3</v>
      </c>
      <c r="N245" s="9">
        <v>0</v>
      </c>
      <c r="O245" s="13">
        <f t="shared" si="19"/>
        <v>-3.0595814456810029</v>
      </c>
      <c r="P245" s="13">
        <f t="shared" si="20"/>
        <v>4.4805612954310327E-2</v>
      </c>
      <c r="Q245" s="13">
        <f t="shared" si="21"/>
        <v>0</v>
      </c>
      <c r="R245" s="13">
        <f t="shared" si="22"/>
        <v>0</v>
      </c>
      <c r="S245" s="13">
        <f t="shared" si="23"/>
        <v>0.95519438704568971</v>
      </c>
      <c r="T245" s="13">
        <f t="shared" si="24"/>
        <v>-4.5840412569513191E-2</v>
      </c>
    </row>
    <row r="246" spans="1:20" x14ac:dyDescent="0.3">
      <c r="A246" s="9">
        <v>61</v>
      </c>
      <c r="B246" s="9">
        <v>1</v>
      </c>
      <c r="C246" s="9">
        <v>1</v>
      </c>
      <c r="D246" s="9">
        <v>134</v>
      </c>
      <c r="E246" s="9">
        <v>234</v>
      </c>
      <c r="F246" s="9">
        <v>0</v>
      </c>
      <c r="G246" s="9">
        <v>0</v>
      </c>
      <c r="H246" s="9">
        <v>145</v>
      </c>
      <c r="I246" s="9">
        <v>0</v>
      </c>
      <c r="J246" s="9">
        <v>2.6</v>
      </c>
      <c r="K246" s="9">
        <v>2</v>
      </c>
      <c r="L246" s="9">
        <v>2</v>
      </c>
      <c r="M246" s="9">
        <v>3</v>
      </c>
      <c r="N246" s="9">
        <v>1</v>
      </c>
      <c r="O246" s="13">
        <f t="shared" si="19"/>
        <v>0.39659706131775785</v>
      </c>
      <c r="P246" s="13">
        <f t="shared" si="20"/>
        <v>0.5978697936536812</v>
      </c>
      <c r="Q246" s="13">
        <f t="shared" si="21"/>
        <v>1</v>
      </c>
      <c r="R246" s="13">
        <f t="shared" si="22"/>
        <v>0</v>
      </c>
      <c r="S246" s="13">
        <f t="shared" si="23"/>
        <v>0.5978697936536812</v>
      </c>
      <c r="T246" s="13">
        <f t="shared" si="24"/>
        <v>-0.51438228510459072</v>
      </c>
    </row>
    <row r="247" spans="1:20" x14ac:dyDescent="0.3">
      <c r="A247" s="9">
        <v>60</v>
      </c>
      <c r="B247" s="9">
        <v>0</v>
      </c>
      <c r="C247" s="9">
        <v>3</v>
      </c>
      <c r="D247" s="9">
        <v>120</v>
      </c>
      <c r="E247" s="9">
        <v>178</v>
      </c>
      <c r="F247" s="9">
        <v>1</v>
      </c>
      <c r="G247" s="9">
        <v>0</v>
      </c>
      <c r="H247" s="9">
        <v>96</v>
      </c>
      <c r="I247" s="9">
        <v>0</v>
      </c>
      <c r="J247" s="9">
        <v>0</v>
      </c>
      <c r="K247" s="9">
        <v>1</v>
      </c>
      <c r="L247" s="9">
        <v>0</v>
      </c>
      <c r="M247" s="9">
        <v>3</v>
      </c>
      <c r="N247" s="9">
        <v>0</v>
      </c>
      <c r="O247" s="13">
        <f t="shared" si="19"/>
        <v>-4.1199323187274892</v>
      </c>
      <c r="P247" s="13">
        <f t="shared" si="20"/>
        <v>1.5985912958348548E-2</v>
      </c>
      <c r="Q247" s="13">
        <f t="shared" si="21"/>
        <v>0</v>
      </c>
      <c r="R247" s="13">
        <f t="shared" si="22"/>
        <v>0</v>
      </c>
      <c r="S247" s="13">
        <f t="shared" si="23"/>
        <v>0.9840140870416515</v>
      </c>
      <c r="T247" s="13">
        <f t="shared" si="24"/>
        <v>-1.6115065933118674E-2</v>
      </c>
    </row>
    <row r="248" spans="1:20" x14ac:dyDescent="0.3">
      <c r="A248" s="9">
        <v>67</v>
      </c>
      <c r="B248" s="9">
        <v>1</v>
      </c>
      <c r="C248" s="9">
        <v>4</v>
      </c>
      <c r="D248" s="9">
        <v>120</v>
      </c>
      <c r="E248" s="9">
        <v>237</v>
      </c>
      <c r="F248" s="9">
        <v>0</v>
      </c>
      <c r="G248" s="9">
        <v>0</v>
      </c>
      <c r="H248" s="9">
        <v>71</v>
      </c>
      <c r="I248" s="9">
        <v>0</v>
      </c>
      <c r="J248" s="9">
        <v>1</v>
      </c>
      <c r="K248" s="9">
        <v>2</v>
      </c>
      <c r="L248" s="9">
        <v>0</v>
      </c>
      <c r="M248" s="9">
        <v>3</v>
      </c>
      <c r="N248" s="9">
        <v>1</v>
      </c>
      <c r="O248" s="13">
        <f t="shared" si="19"/>
        <v>0.31771153538122299</v>
      </c>
      <c r="P248" s="13">
        <f t="shared" si="20"/>
        <v>0.57876643476704048</v>
      </c>
      <c r="Q248" s="13">
        <f t="shared" si="21"/>
        <v>1</v>
      </c>
      <c r="R248" s="13">
        <f t="shared" si="22"/>
        <v>0</v>
      </c>
      <c r="S248" s="13">
        <f t="shared" si="23"/>
        <v>0.57876643476704048</v>
      </c>
      <c r="T248" s="13">
        <f t="shared" si="24"/>
        <v>-0.54685627697919503</v>
      </c>
    </row>
    <row r="249" spans="1:20" x14ac:dyDescent="0.3">
      <c r="A249" s="9">
        <v>58</v>
      </c>
      <c r="B249" s="9">
        <v>1</v>
      </c>
      <c r="C249" s="9">
        <v>4</v>
      </c>
      <c r="D249" s="9">
        <v>100</v>
      </c>
      <c r="E249" s="9">
        <v>234</v>
      </c>
      <c r="F249" s="9">
        <v>0</v>
      </c>
      <c r="G249" s="9">
        <v>0</v>
      </c>
      <c r="H249" s="9">
        <v>156</v>
      </c>
      <c r="I249" s="9">
        <v>0</v>
      </c>
      <c r="J249" s="9">
        <v>0.1</v>
      </c>
      <c r="K249" s="9">
        <v>1</v>
      </c>
      <c r="L249" s="9">
        <v>1</v>
      </c>
      <c r="M249" s="9">
        <v>7</v>
      </c>
      <c r="N249" s="9">
        <v>1</v>
      </c>
      <c r="O249" s="13">
        <f t="shared" si="19"/>
        <v>4.2084772329975095E-2</v>
      </c>
      <c r="P249" s="13">
        <f t="shared" si="20"/>
        <v>0.51051964049245058</v>
      </c>
      <c r="Q249" s="13">
        <f t="shared" si="21"/>
        <v>1</v>
      </c>
      <c r="R249" s="13">
        <f t="shared" si="22"/>
        <v>0</v>
      </c>
      <c r="S249" s="13">
        <f t="shared" si="23"/>
        <v>0.51051964049245058</v>
      </c>
      <c r="T249" s="13">
        <f t="shared" si="24"/>
        <v>-0.67232616906665199</v>
      </c>
    </row>
    <row r="250" spans="1:20" x14ac:dyDescent="0.3">
      <c r="A250" s="9">
        <v>47</v>
      </c>
      <c r="B250" s="9">
        <v>1</v>
      </c>
      <c r="C250" s="9">
        <v>4</v>
      </c>
      <c r="D250" s="9">
        <v>110</v>
      </c>
      <c r="E250" s="9">
        <v>275</v>
      </c>
      <c r="F250" s="9">
        <v>0</v>
      </c>
      <c r="G250" s="9">
        <v>2</v>
      </c>
      <c r="H250" s="9">
        <v>118</v>
      </c>
      <c r="I250" s="9">
        <v>1</v>
      </c>
      <c r="J250" s="9">
        <v>1</v>
      </c>
      <c r="K250" s="9">
        <v>2</v>
      </c>
      <c r="L250" s="9">
        <v>1</v>
      </c>
      <c r="M250" s="9">
        <v>3</v>
      </c>
      <c r="N250" s="9">
        <v>1</v>
      </c>
      <c r="O250" s="13">
        <f t="shared" si="19"/>
        <v>2.2618896408492386</v>
      </c>
      <c r="P250" s="13">
        <f t="shared" si="20"/>
        <v>0.90567118854081452</v>
      </c>
      <c r="Q250" s="13">
        <f t="shared" si="21"/>
        <v>1</v>
      </c>
      <c r="R250" s="13">
        <f t="shared" si="22"/>
        <v>0</v>
      </c>
      <c r="S250" s="13">
        <f t="shared" si="23"/>
        <v>0.90567118854081452</v>
      </c>
      <c r="T250" s="13">
        <f t="shared" si="24"/>
        <v>-9.9078965368331107E-2</v>
      </c>
    </row>
    <row r="251" spans="1:20" x14ac:dyDescent="0.3">
      <c r="A251" s="9">
        <v>52</v>
      </c>
      <c r="B251" s="9">
        <v>1</v>
      </c>
      <c r="C251" s="9">
        <v>4</v>
      </c>
      <c r="D251" s="9">
        <v>125</v>
      </c>
      <c r="E251" s="9">
        <v>212</v>
      </c>
      <c r="F251" s="9">
        <v>0</v>
      </c>
      <c r="G251" s="9">
        <v>0</v>
      </c>
      <c r="H251" s="9">
        <v>168</v>
      </c>
      <c r="I251" s="9">
        <v>0</v>
      </c>
      <c r="J251" s="9">
        <v>1</v>
      </c>
      <c r="K251" s="9">
        <v>1</v>
      </c>
      <c r="L251" s="9">
        <v>2</v>
      </c>
      <c r="M251" s="9">
        <v>7</v>
      </c>
      <c r="N251" s="9">
        <v>1</v>
      </c>
      <c r="O251" s="13">
        <f t="shared" si="19"/>
        <v>1.8600204213387723</v>
      </c>
      <c r="P251" s="13">
        <f t="shared" si="20"/>
        <v>0.86529932830347389</v>
      </c>
      <c r="Q251" s="13">
        <f t="shared" si="21"/>
        <v>1</v>
      </c>
      <c r="R251" s="13">
        <f t="shared" si="22"/>
        <v>0</v>
      </c>
      <c r="S251" s="13">
        <f t="shared" si="23"/>
        <v>0.86529932830347389</v>
      </c>
      <c r="T251" s="13">
        <f t="shared" si="24"/>
        <v>-0.14467978762829842</v>
      </c>
    </row>
    <row r="252" spans="1:20" x14ac:dyDescent="0.3">
      <c r="A252" s="9">
        <v>62</v>
      </c>
      <c r="B252" s="9">
        <v>1</v>
      </c>
      <c r="C252" s="9">
        <v>2</v>
      </c>
      <c r="D252" s="9">
        <v>128</v>
      </c>
      <c r="E252" s="9">
        <v>208</v>
      </c>
      <c r="F252" s="9">
        <v>1</v>
      </c>
      <c r="G252" s="9">
        <v>2</v>
      </c>
      <c r="H252" s="9">
        <v>140</v>
      </c>
      <c r="I252" s="9">
        <v>0</v>
      </c>
      <c r="J252" s="9">
        <v>0</v>
      </c>
      <c r="K252" s="9">
        <v>1</v>
      </c>
      <c r="L252" s="9">
        <v>0</v>
      </c>
      <c r="M252" s="9">
        <v>3</v>
      </c>
      <c r="N252" s="9">
        <v>0</v>
      </c>
      <c r="O252" s="13">
        <f t="shared" si="19"/>
        <v>-3.4910292822516267</v>
      </c>
      <c r="P252" s="13">
        <f t="shared" si="20"/>
        <v>2.9568555385682933E-2</v>
      </c>
      <c r="Q252" s="13">
        <f t="shared" si="21"/>
        <v>0</v>
      </c>
      <c r="R252" s="13">
        <f t="shared" si="22"/>
        <v>0</v>
      </c>
      <c r="S252" s="13">
        <f t="shared" si="23"/>
        <v>0.97043144461431707</v>
      </c>
      <c r="T252" s="13">
        <f t="shared" si="24"/>
        <v>-3.0014518111503068E-2</v>
      </c>
    </row>
    <row r="253" spans="1:20" x14ac:dyDescent="0.3">
      <c r="A253" s="9">
        <v>57</v>
      </c>
      <c r="B253" s="9">
        <v>1</v>
      </c>
      <c r="C253" s="9">
        <v>4</v>
      </c>
      <c r="D253" s="9">
        <v>110</v>
      </c>
      <c r="E253" s="9">
        <v>201</v>
      </c>
      <c r="F253" s="9">
        <v>0</v>
      </c>
      <c r="G253" s="9">
        <v>0</v>
      </c>
      <c r="H253" s="9">
        <v>126</v>
      </c>
      <c r="I253" s="9">
        <v>1</v>
      </c>
      <c r="J253" s="9">
        <v>1.5</v>
      </c>
      <c r="K253" s="9">
        <v>2</v>
      </c>
      <c r="L253" s="9">
        <v>0</v>
      </c>
      <c r="M253" s="9">
        <v>6</v>
      </c>
      <c r="N253" s="9">
        <v>0</v>
      </c>
      <c r="O253" s="13">
        <f t="shared" si="19"/>
        <v>0.98310651494456103</v>
      </c>
      <c r="P253" s="13">
        <f t="shared" si="20"/>
        <v>0.72772418174032105</v>
      </c>
      <c r="Q253" s="13">
        <f t="shared" si="21"/>
        <v>1</v>
      </c>
      <c r="R253" s="13">
        <f t="shared" si="22"/>
        <v>1</v>
      </c>
      <c r="S253" s="13">
        <f t="shared" si="23"/>
        <v>0.27227581825967895</v>
      </c>
      <c r="T253" s="13">
        <f t="shared" si="24"/>
        <v>-1.3009396887556752</v>
      </c>
    </row>
    <row r="254" spans="1:20" x14ac:dyDescent="0.3">
      <c r="A254" s="9">
        <v>58</v>
      </c>
      <c r="B254" s="9">
        <v>1</v>
      </c>
      <c r="C254" s="9">
        <v>4</v>
      </c>
      <c r="D254" s="9">
        <v>146</v>
      </c>
      <c r="E254" s="9">
        <v>218</v>
      </c>
      <c r="F254" s="9">
        <v>0</v>
      </c>
      <c r="G254" s="9">
        <v>0</v>
      </c>
      <c r="H254" s="9">
        <v>105</v>
      </c>
      <c r="I254" s="9">
        <v>0</v>
      </c>
      <c r="J254" s="9">
        <v>2</v>
      </c>
      <c r="K254" s="9">
        <v>2</v>
      </c>
      <c r="L254" s="9">
        <v>1</v>
      </c>
      <c r="M254" s="9">
        <v>7</v>
      </c>
      <c r="N254" s="9">
        <v>1</v>
      </c>
      <c r="O254" s="13">
        <f t="shared" si="19"/>
        <v>3.1625048678150094</v>
      </c>
      <c r="P254" s="13">
        <f t="shared" si="20"/>
        <v>0.95939863064679831</v>
      </c>
      <c r="Q254" s="13">
        <f t="shared" si="21"/>
        <v>1</v>
      </c>
      <c r="R254" s="13">
        <f t="shared" si="22"/>
        <v>0</v>
      </c>
      <c r="S254" s="13">
        <f t="shared" si="23"/>
        <v>0.95939863064679831</v>
      </c>
      <c r="T254" s="13">
        <f t="shared" si="24"/>
        <v>-4.1448617216840719E-2</v>
      </c>
    </row>
    <row r="255" spans="1:20" x14ac:dyDescent="0.3">
      <c r="A255" s="9">
        <v>64</v>
      </c>
      <c r="B255" s="9">
        <v>1</v>
      </c>
      <c r="C255" s="9">
        <v>4</v>
      </c>
      <c r="D255" s="9">
        <v>128</v>
      </c>
      <c r="E255" s="9">
        <v>263</v>
      </c>
      <c r="F255" s="9">
        <v>0</v>
      </c>
      <c r="G255" s="9">
        <v>0</v>
      </c>
      <c r="H255" s="9">
        <v>105</v>
      </c>
      <c r="I255" s="9">
        <v>1</v>
      </c>
      <c r="J255" s="9">
        <v>0.2</v>
      </c>
      <c r="K255" s="9">
        <v>2</v>
      </c>
      <c r="L255" s="9">
        <v>1</v>
      </c>
      <c r="M255" s="9">
        <v>7</v>
      </c>
      <c r="N255" s="9">
        <v>0</v>
      </c>
      <c r="O255" s="13">
        <f t="shared" si="19"/>
        <v>3.3496700515954387</v>
      </c>
      <c r="P255" s="13">
        <f t="shared" si="20"/>
        <v>0.96609402959551838</v>
      </c>
      <c r="Q255" s="13">
        <f t="shared" si="21"/>
        <v>1</v>
      </c>
      <c r="R255" s="13">
        <f t="shared" si="22"/>
        <v>1</v>
      </c>
      <c r="S255" s="13">
        <f t="shared" si="23"/>
        <v>3.3905970404481622E-2</v>
      </c>
      <c r="T255" s="13">
        <f t="shared" si="24"/>
        <v>-3.3841641619764076</v>
      </c>
    </row>
    <row r="256" spans="1:20" x14ac:dyDescent="0.3">
      <c r="A256" s="9">
        <v>51</v>
      </c>
      <c r="B256" s="9">
        <v>0</v>
      </c>
      <c r="C256" s="9">
        <v>3</v>
      </c>
      <c r="D256" s="9">
        <v>120</v>
      </c>
      <c r="E256" s="9">
        <v>295</v>
      </c>
      <c r="F256" s="9">
        <v>0</v>
      </c>
      <c r="G256" s="9">
        <v>2</v>
      </c>
      <c r="H256" s="9">
        <v>157</v>
      </c>
      <c r="I256" s="9">
        <v>0</v>
      </c>
      <c r="J256" s="9">
        <v>0.6</v>
      </c>
      <c r="K256" s="9">
        <v>1</v>
      </c>
      <c r="L256" s="9">
        <v>0</v>
      </c>
      <c r="M256" s="9">
        <v>3</v>
      </c>
      <c r="N256" s="9">
        <v>0</v>
      </c>
      <c r="O256" s="13">
        <f t="shared" si="19"/>
        <v>-3.0110936107141733</v>
      </c>
      <c r="P256" s="13">
        <f t="shared" si="20"/>
        <v>4.692720964587993E-2</v>
      </c>
      <c r="Q256" s="13">
        <f t="shared" si="21"/>
        <v>0</v>
      </c>
      <c r="R256" s="13">
        <f t="shared" si="22"/>
        <v>0</v>
      </c>
      <c r="S256" s="13">
        <f t="shared" si="23"/>
        <v>0.95307279035412007</v>
      </c>
      <c r="T256" s="13">
        <f t="shared" si="24"/>
        <v>-4.8063998020075743E-2</v>
      </c>
    </row>
    <row r="257" spans="1:20" x14ac:dyDescent="0.3">
      <c r="A257" s="9">
        <v>43</v>
      </c>
      <c r="B257" s="9">
        <v>1</v>
      </c>
      <c r="C257" s="9">
        <v>4</v>
      </c>
      <c r="D257" s="9">
        <v>115</v>
      </c>
      <c r="E257" s="9">
        <v>303</v>
      </c>
      <c r="F257" s="9">
        <v>0</v>
      </c>
      <c r="G257" s="9">
        <v>0</v>
      </c>
      <c r="H257" s="9">
        <v>181</v>
      </c>
      <c r="I257" s="9">
        <v>0</v>
      </c>
      <c r="J257" s="9">
        <v>1.2</v>
      </c>
      <c r="K257" s="9">
        <v>2</v>
      </c>
      <c r="L257" s="9">
        <v>0</v>
      </c>
      <c r="M257" s="9">
        <v>3</v>
      </c>
      <c r="N257" s="9">
        <v>0</v>
      </c>
      <c r="O257" s="13">
        <f t="shared" si="19"/>
        <v>-1.3600215291801856</v>
      </c>
      <c r="P257" s="13">
        <f t="shared" si="20"/>
        <v>0.2042368032505012</v>
      </c>
      <c r="Q257" s="13">
        <f t="shared" si="21"/>
        <v>0</v>
      </c>
      <c r="R257" s="13">
        <f t="shared" si="22"/>
        <v>0</v>
      </c>
      <c r="S257" s="13">
        <f t="shared" si="23"/>
        <v>0.7957631967494988</v>
      </c>
      <c r="T257" s="13">
        <f t="shared" si="24"/>
        <v>-0.22845362891786472</v>
      </c>
    </row>
    <row r="258" spans="1:20" x14ac:dyDescent="0.3">
      <c r="A258" s="9">
        <v>42</v>
      </c>
      <c r="B258" s="9">
        <v>0</v>
      </c>
      <c r="C258" s="9">
        <v>3</v>
      </c>
      <c r="D258" s="9">
        <v>120</v>
      </c>
      <c r="E258" s="9">
        <v>209</v>
      </c>
      <c r="F258" s="9">
        <v>0</v>
      </c>
      <c r="G258" s="9">
        <v>0</v>
      </c>
      <c r="H258" s="9">
        <v>173</v>
      </c>
      <c r="I258" s="9">
        <v>0</v>
      </c>
      <c r="J258" s="9">
        <v>0</v>
      </c>
      <c r="K258" s="9">
        <v>2</v>
      </c>
      <c r="L258" s="9">
        <v>0</v>
      </c>
      <c r="M258" s="9">
        <v>3</v>
      </c>
      <c r="N258" s="9">
        <v>0</v>
      </c>
      <c r="O258" s="13">
        <f t="shared" si="19"/>
        <v>-3.7125291879181668</v>
      </c>
      <c r="P258" s="13">
        <f t="shared" si="20"/>
        <v>2.383377509689524E-2</v>
      </c>
      <c r="Q258" s="13">
        <f t="shared" si="21"/>
        <v>0</v>
      </c>
      <c r="R258" s="13">
        <f t="shared" si="22"/>
        <v>0</v>
      </c>
      <c r="S258" s="13">
        <f t="shared" si="23"/>
        <v>0.97616622490310478</v>
      </c>
      <c r="T258" s="13">
        <f t="shared" si="24"/>
        <v>-2.4122394669832868E-2</v>
      </c>
    </row>
    <row r="259" spans="1:20" x14ac:dyDescent="0.3">
      <c r="A259" s="9">
        <v>67</v>
      </c>
      <c r="B259" s="9">
        <v>0</v>
      </c>
      <c r="C259" s="9">
        <v>4</v>
      </c>
      <c r="D259" s="9">
        <v>106</v>
      </c>
      <c r="E259" s="9">
        <v>223</v>
      </c>
      <c r="F259" s="9">
        <v>0</v>
      </c>
      <c r="G259" s="9">
        <v>0</v>
      </c>
      <c r="H259" s="9">
        <v>142</v>
      </c>
      <c r="I259" s="9">
        <v>0</v>
      </c>
      <c r="J259" s="9">
        <v>0.3</v>
      </c>
      <c r="K259" s="9">
        <v>1</v>
      </c>
      <c r="L259" s="9">
        <v>2</v>
      </c>
      <c r="M259" s="9">
        <v>3</v>
      </c>
      <c r="N259" s="9">
        <v>0</v>
      </c>
      <c r="O259" s="13">
        <f t="shared" si="19"/>
        <v>-1.0767038885267031</v>
      </c>
      <c r="P259" s="13">
        <f t="shared" si="20"/>
        <v>0.2541302817906787</v>
      </c>
      <c r="Q259" s="13">
        <f t="shared" si="21"/>
        <v>0</v>
      </c>
      <c r="R259" s="13">
        <f t="shared" si="22"/>
        <v>0</v>
      </c>
      <c r="S259" s="13">
        <f t="shared" si="23"/>
        <v>0.74586971820932124</v>
      </c>
      <c r="T259" s="13">
        <f t="shared" si="24"/>
        <v>-0.29320433449987754</v>
      </c>
    </row>
    <row r="260" spans="1:20" x14ac:dyDescent="0.3">
      <c r="A260" s="9">
        <v>76</v>
      </c>
      <c r="B260" s="9">
        <v>0</v>
      </c>
      <c r="C260" s="9">
        <v>3</v>
      </c>
      <c r="D260" s="9">
        <v>140</v>
      </c>
      <c r="E260" s="9">
        <v>197</v>
      </c>
      <c r="F260" s="9">
        <v>0</v>
      </c>
      <c r="G260" s="9">
        <v>1</v>
      </c>
      <c r="H260" s="9">
        <v>116</v>
      </c>
      <c r="I260" s="9">
        <v>0</v>
      </c>
      <c r="J260" s="9">
        <v>1.1000000000000001</v>
      </c>
      <c r="K260" s="9">
        <v>2</v>
      </c>
      <c r="L260" s="9">
        <v>0</v>
      </c>
      <c r="M260" s="9">
        <v>3</v>
      </c>
      <c r="N260" s="9">
        <v>0</v>
      </c>
      <c r="O260" s="13">
        <f t="shared" si="19"/>
        <v>-2.077194205990514</v>
      </c>
      <c r="P260" s="13">
        <f t="shared" si="20"/>
        <v>0.11133326425185962</v>
      </c>
      <c r="Q260" s="13">
        <f t="shared" si="21"/>
        <v>0</v>
      </c>
      <c r="R260" s="13">
        <f t="shared" si="22"/>
        <v>0</v>
      </c>
      <c r="S260" s="13">
        <f t="shared" si="23"/>
        <v>0.88866673574814037</v>
      </c>
      <c r="T260" s="13">
        <f t="shared" si="24"/>
        <v>-0.11803298917550385</v>
      </c>
    </row>
    <row r="261" spans="1:20" x14ac:dyDescent="0.3">
      <c r="A261" s="9">
        <v>70</v>
      </c>
      <c r="B261" s="9">
        <v>1</v>
      </c>
      <c r="C261" s="9">
        <v>2</v>
      </c>
      <c r="D261" s="9">
        <v>156</v>
      </c>
      <c r="E261" s="9">
        <v>245</v>
      </c>
      <c r="F261" s="9">
        <v>0</v>
      </c>
      <c r="G261" s="9">
        <v>2</v>
      </c>
      <c r="H261" s="9">
        <v>143</v>
      </c>
      <c r="I261" s="9">
        <v>0</v>
      </c>
      <c r="J261" s="9">
        <v>0</v>
      </c>
      <c r="K261" s="9">
        <v>1</v>
      </c>
      <c r="L261" s="9">
        <v>0</v>
      </c>
      <c r="M261" s="9">
        <v>3</v>
      </c>
      <c r="N261" s="9">
        <v>0</v>
      </c>
      <c r="O261" s="13">
        <f t="shared" si="19"/>
        <v>-1.7881613877985352</v>
      </c>
      <c r="P261" s="13">
        <f t="shared" si="20"/>
        <v>0.1432982906685111</v>
      </c>
      <c r="Q261" s="13">
        <f t="shared" si="21"/>
        <v>0</v>
      </c>
      <c r="R261" s="13">
        <f t="shared" si="22"/>
        <v>0</v>
      </c>
      <c r="S261" s="13">
        <f t="shared" si="23"/>
        <v>0.85670170933148893</v>
      </c>
      <c r="T261" s="13">
        <f t="shared" si="24"/>
        <v>-0.15466548476317923</v>
      </c>
    </row>
    <row r="262" spans="1:20" x14ac:dyDescent="0.3">
      <c r="A262" s="9">
        <v>57</v>
      </c>
      <c r="B262" s="9">
        <v>1</v>
      </c>
      <c r="C262" s="9">
        <v>2</v>
      </c>
      <c r="D262" s="9">
        <v>124</v>
      </c>
      <c r="E262" s="9">
        <v>261</v>
      </c>
      <c r="F262" s="9">
        <v>0</v>
      </c>
      <c r="G262" s="9">
        <v>0</v>
      </c>
      <c r="H262" s="9">
        <v>141</v>
      </c>
      <c r="I262" s="9">
        <v>0</v>
      </c>
      <c r="J262" s="9">
        <v>0.3</v>
      </c>
      <c r="K262" s="9">
        <v>1</v>
      </c>
      <c r="L262" s="9">
        <v>0</v>
      </c>
      <c r="M262" s="9">
        <v>7</v>
      </c>
      <c r="N262" s="9">
        <v>1</v>
      </c>
      <c r="O262" s="13">
        <f t="shared" si="19"/>
        <v>-1.2917664882955702</v>
      </c>
      <c r="P262" s="13">
        <f t="shared" si="20"/>
        <v>0.21555396443285171</v>
      </c>
      <c r="Q262" s="13">
        <f t="shared" si="21"/>
        <v>0</v>
      </c>
      <c r="R262" s="13">
        <f t="shared" si="22"/>
        <v>1</v>
      </c>
      <c r="S262" s="13">
        <f t="shared" si="23"/>
        <v>0.21555396443285171</v>
      </c>
      <c r="T262" s="13">
        <f t="shared" si="24"/>
        <v>-1.5345439857853056</v>
      </c>
    </row>
    <row r="263" spans="1:20" x14ac:dyDescent="0.3">
      <c r="A263" s="9">
        <v>44</v>
      </c>
      <c r="B263" s="9">
        <v>0</v>
      </c>
      <c r="C263" s="9">
        <v>3</v>
      </c>
      <c r="D263" s="9">
        <v>118</v>
      </c>
      <c r="E263" s="9">
        <v>242</v>
      </c>
      <c r="F263" s="9">
        <v>0</v>
      </c>
      <c r="G263" s="9">
        <v>0</v>
      </c>
      <c r="H263" s="9">
        <v>149</v>
      </c>
      <c r="I263" s="9">
        <v>0</v>
      </c>
      <c r="J263" s="9">
        <v>0.3</v>
      </c>
      <c r="K263" s="9">
        <v>2</v>
      </c>
      <c r="L263" s="9">
        <v>1</v>
      </c>
      <c r="M263" s="9">
        <v>3</v>
      </c>
      <c r="N263" s="9">
        <v>0</v>
      </c>
      <c r="O263" s="13">
        <f t="shared" ref="O263:O302" si="25">SUMPRODUCT(A$4:M$4, A263:M263)+N$4</f>
        <v>-1.7859928162625742</v>
      </c>
      <c r="P263" s="13">
        <f t="shared" ref="P263:P302" si="26">1/(1+EXP(0-O263))</f>
        <v>0.14356471893391398</v>
      </c>
      <c r="Q263" s="13">
        <f t="shared" ref="Q263:Q302" si="27">IF(P263&lt;=0.5, 0, 1)</f>
        <v>0</v>
      </c>
      <c r="R263" s="13">
        <f t="shared" ref="R263:R302" si="28">IF(N263=Q263, 0, 1)</f>
        <v>0</v>
      </c>
      <c r="S263" s="13">
        <f t="shared" ref="S263:S302" si="29">IF(N263=1, P263, 1-P263)</f>
        <v>0.85643528106608602</v>
      </c>
      <c r="T263" s="13">
        <f t="shared" ref="T263:T302" si="30">IF(S263=0, -100000, LN(S263))</f>
        <v>-0.15497652616739183</v>
      </c>
    </row>
    <row r="264" spans="1:20" x14ac:dyDescent="0.3">
      <c r="A264" s="9">
        <v>58</v>
      </c>
      <c r="B264" s="9">
        <v>0</v>
      </c>
      <c r="C264" s="9">
        <v>2</v>
      </c>
      <c r="D264" s="9">
        <v>136</v>
      </c>
      <c r="E264" s="9">
        <v>319</v>
      </c>
      <c r="F264" s="9">
        <v>1</v>
      </c>
      <c r="G264" s="9">
        <v>2</v>
      </c>
      <c r="H264" s="9">
        <v>152</v>
      </c>
      <c r="I264" s="9">
        <v>0</v>
      </c>
      <c r="J264" s="9">
        <v>0</v>
      </c>
      <c r="K264" s="9">
        <v>1</v>
      </c>
      <c r="L264" s="9">
        <v>2</v>
      </c>
      <c r="M264" s="9">
        <v>3</v>
      </c>
      <c r="N264" s="9">
        <v>1</v>
      </c>
      <c r="O264" s="13">
        <f t="shared" si="25"/>
        <v>-1.7134630142902729</v>
      </c>
      <c r="P264" s="13">
        <f t="shared" si="26"/>
        <v>0.15271508620655636</v>
      </c>
      <c r="Q264" s="13">
        <f t="shared" si="27"/>
        <v>0</v>
      </c>
      <c r="R264" s="13">
        <f t="shared" si="28"/>
        <v>1</v>
      </c>
      <c r="S264" s="13">
        <f t="shared" si="29"/>
        <v>0.15271508620655636</v>
      </c>
      <c r="T264" s="13">
        <f t="shared" si="30"/>
        <v>-1.8791812752619761</v>
      </c>
    </row>
    <row r="265" spans="1:20" x14ac:dyDescent="0.3">
      <c r="A265" s="9">
        <v>60</v>
      </c>
      <c r="B265" s="9">
        <v>0</v>
      </c>
      <c r="C265" s="9">
        <v>1</v>
      </c>
      <c r="D265" s="9">
        <v>150</v>
      </c>
      <c r="E265" s="9">
        <v>240</v>
      </c>
      <c r="F265" s="9">
        <v>0</v>
      </c>
      <c r="G265" s="9">
        <v>0</v>
      </c>
      <c r="H265" s="9">
        <v>171</v>
      </c>
      <c r="I265" s="9">
        <v>0</v>
      </c>
      <c r="J265" s="9">
        <v>0.9</v>
      </c>
      <c r="K265" s="9">
        <v>1</v>
      </c>
      <c r="L265" s="9">
        <v>0</v>
      </c>
      <c r="M265" s="9">
        <v>3</v>
      </c>
      <c r="N265" s="9">
        <v>0</v>
      </c>
      <c r="O265" s="13">
        <f t="shared" si="25"/>
        <v>-4.5497805837470571</v>
      </c>
      <c r="P265" s="13">
        <f t="shared" si="26"/>
        <v>1.0458976855538036E-2</v>
      </c>
      <c r="Q265" s="13">
        <f t="shared" si="27"/>
        <v>0</v>
      </c>
      <c r="R265" s="13">
        <f t="shared" si="28"/>
        <v>0</v>
      </c>
      <c r="S265" s="13">
        <f t="shared" si="29"/>
        <v>0.98954102314446202</v>
      </c>
      <c r="T265" s="13">
        <f t="shared" si="30"/>
        <v>-1.0514056340620869E-2</v>
      </c>
    </row>
    <row r="266" spans="1:20" x14ac:dyDescent="0.3">
      <c r="A266" s="9">
        <v>44</v>
      </c>
      <c r="B266" s="9">
        <v>1</v>
      </c>
      <c r="C266" s="9">
        <v>3</v>
      </c>
      <c r="D266" s="9">
        <v>120</v>
      </c>
      <c r="E266" s="9">
        <v>226</v>
      </c>
      <c r="F266" s="9">
        <v>0</v>
      </c>
      <c r="G266" s="9">
        <v>0</v>
      </c>
      <c r="H266" s="9">
        <v>169</v>
      </c>
      <c r="I266" s="9">
        <v>0</v>
      </c>
      <c r="J266" s="9">
        <v>0</v>
      </c>
      <c r="K266" s="9">
        <v>1</v>
      </c>
      <c r="L266" s="9">
        <v>0</v>
      </c>
      <c r="M266" s="9">
        <v>3</v>
      </c>
      <c r="N266" s="9">
        <v>0</v>
      </c>
      <c r="O266" s="13">
        <f t="shared" si="25"/>
        <v>-2.8316943988799741</v>
      </c>
      <c r="P266" s="13">
        <f t="shared" si="26"/>
        <v>5.5635307120174941E-2</v>
      </c>
      <c r="Q266" s="13">
        <f t="shared" si="27"/>
        <v>0</v>
      </c>
      <c r="R266" s="13">
        <f t="shared" si="28"/>
        <v>0</v>
      </c>
      <c r="S266" s="13">
        <f t="shared" si="29"/>
        <v>0.94436469287982505</v>
      </c>
      <c r="T266" s="13">
        <f t="shared" si="30"/>
        <v>-5.724286023857178E-2</v>
      </c>
    </row>
    <row r="267" spans="1:20" x14ac:dyDescent="0.3">
      <c r="A267" s="9">
        <v>61</v>
      </c>
      <c r="B267" s="9">
        <v>1</v>
      </c>
      <c r="C267" s="9">
        <v>4</v>
      </c>
      <c r="D267" s="9">
        <v>138</v>
      </c>
      <c r="E267" s="9">
        <v>166</v>
      </c>
      <c r="F267" s="9">
        <v>0</v>
      </c>
      <c r="G267" s="9">
        <v>2</v>
      </c>
      <c r="H267" s="9">
        <v>125</v>
      </c>
      <c r="I267" s="9">
        <v>1</v>
      </c>
      <c r="J267" s="9">
        <v>3.6</v>
      </c>
      <c r="K267" s="9">
        <v>2</v>
      </c>
      <c r="L267" s="9">
        <v>1</v>
      </c>
      <c r="M267" s="9">
        <v>3</v>
      </c>
      <c r="N267" s="9">
        <v>1</v>
      </c>
      <c r="O267" s="13">
        <f t="shared" si="25"/>
        <v>2.6910681588264929</v>
      </c>
      <c r="P267" s="13">
        <f t="shared" si="26"/>
        <v>0.93649753459141882</v>
      </c>
      <c r="Q267" s="13">
        <f t="shared" si="27"/>
        <v>1</v>
      </c>
      <c r="R267" s="13">
        <f t="shared" si="28"/>
        <v>0</v>
      </c>
      <c r="S267" s="13">
        <f t="shared" si="29"/>
        <v>0.93649753459141882</v>
      </c>
      <c r="T267" s="13">
        <f t="shared" si="30"/>
        <v>-6.5608389678694728E-2</v>
      </c>
    </row>
    <row r="268" spans="1:20" x14ac:dyDescent="0.3">
      <c r="A268" s="9">
        <v>42</v>
      </c>
      <c r="B268" s="9">
        <v>1</v>
      </c>
      <c r="C268" s="9">
        <v>4</v>
      </c>
      <c r="D268" s="9">
        <v>136</v>
      </c>
      <c r="E268" s="9">
        <v>315</v>
      </c>
      <c r="F268" s="9">
        <v>0</v>
      </c>
      <c r="G268" s="9">
        <v>0</v>
      </c>
      <c r="H268" s="9">
        <v>125</v>
      </c>
      <c r="I268" s="9">
        <v>1</v>
      </c>
      <c r="J268" s="9">
        <v>1.8</v>
      </c>
      <c r="K268" s="9">
        <v>2</v>
      </c>
      <c r="L268" s="9">
        <v>0</v>
      </c>
      <c r="M268" s="9">
        <v>6</v>
      </c>
      <c r="N268" s="9">
        <v>1</v>
      </c>
      <c r="O268" s="13">
        <f t="shared" si="25"/>
        <v>2.4834967036874751</v>
      </c>
      <c r="P268" s="13">
        <f t="shared" si="26"/>
        <v>0.92297674882199299</v>
      </c>
      <c r="Q268" s="13">
        <f t="shared" si="27"/>
        <v>1</v>
      </c>
      <c r="R268" s="13">
        <f t="shared" si="28"/>
        <v>0</v>
      </c>
      <c r="S268" s="13">
        <f t="shared" si="29"/>
        <v>0.92297674882199299</v>
      </c>
      <c r="T268" s="13">
        <f t="shared" si="30"/>
        <v>-8.0151235671994212E-2</v>
      </c>
    </row>
    <row r="269" spans="1:20" x14ac:dyDescent="0.3">
      <c r="A269" s="9">
        <v>59</v>
      </c>
      <c r="B269" s="9">
        <v>1</v>
      </c>
      <c r="C269" s="9">
        <v>3</v>
      </c>
      <c r="D269" s="9">
        <v>126</v>
      </c>
      <c r="E269" s="9">
        <v>218</v>
      </c>
      <c r="F269" s="9">
        <v>1</v>
      </c>
      <c r="G269" s="9">
        <v>0</v>
      </c>
      <c r="H269" s="9">
        <v>134</v>
      </c>
      <c r="I269" s="9">
        <v>0</v>
      </c>
      <c r="J269" s="9">
        <v>2.2000000000000002</v>
      </c>
      <c r="K269" s="9">
        <v>2</v>
      </c>
      <c r="L269" s="9">
        <v>1</v>
      </c>
      <c r="M269" s="9">
        <v>6</v>
      </c>
      <c r="N269" s="9">
        <v>1</v>
      </c>
      <c r="O269" s="13">
        <f t="shared" si="25"/>
        <v>0.1760313414629513</v>
      </c>
      <c r="P269" s="13">
        <f t="shared" si="26"/>
        <v>0.54389454704514251</v>
      </c>
      <c r="Q269" s="13">
        <f t="shared" si="27"/>
        <v>1</v>
      </c>
      <c r="R269" s="13">
        <f t="shared" si="28"/>
        <v>0</v>
      </c>
      <c r="S269" s="13">
        <f t="shared" si="29"/>
        <v>0.54389454704514251</v>
      </c>
      <c r="T269" s="13">
        <f t="shared" si="30"/>
        <v>-0.60899989826050716</v>
      </c>
    </row>
    <row r="270" spans="1:20" x14ac:dyDescent="0.3">
      <c r="A270" s="9">
        <v>40</v>
      </c>
      <c r="B270" s="9">
        <v>1</v>
      </c>
      <c r="C270" s="9">
        <v>4</v>
      </c>
      <c r="D270" s="9">
        <v>152</v>
      </c>
      <c r="E270" s="9">
        <v>223</v>
      </c>
      <c r="F270" s="9">
        <v>0</v>
      </c>
      <c r="G270" s="9">
        <v>0</v>
      </c>
      <c r="H270" s="9">
        <v>181</v>
      </c>
      <c r="I270" s="9">
        <v>0</v>
      </c>
      <c r="J270" s="9">
        <v>0</v>
      </c>
      <c r="K270" s="9">
        <v>1</v>
      </c>
      <c r="L270" s="9">
        <v>0</v>
      </c>
      <c r="M270" s="9">
        <v>7</v>
      </c>
      <c r="N270" s="9">
        <v>1</v>
      </c>
      <c r="O270" s="13">
        <f t="shared" si="25"/>
        <v>-0.31796026408362721</v>
      </c>
      <c r="P270" s="13">
        <f t="shared" si="26"/>
        <v>0.42117292739614454</v>
      </c>
      <c r="Q270" s="13">
        <f t="shared" si="27"/>
        <v>0</v>
      </c>
      <c r="R270" s="13">
        <f t="shared" si="28"/>
        <v>1</v>
      </c>
      <c r="S270" s="13">
        <f t="shared" si="29"/>
        <v>0.42117292739614454</v>
      </c>
      <c r="T270" s="13">
        <f t="shared" si="30"/>
        <v>-0.86471177572596736</v>
      </c>
    </row>
    <row r="271" spans="1:20" x14ac:dyDescent="0.3">
      <c r="A271" s="9">
        <v>42</v>
      </c>
      <c r="B271" s="9">
        <v>1</v>
      </c>
      <c r="C271" s="9">
        <v>3</v>
      </c>
      <c r="D271" s="9">
        <v>130</v>
      </c>
      <c r="E271" s="9">
        <v>180</v>
      </c>
      <c r="F271" s="9">
        <v>0</v>
      </c>
      <c r="G271" s="9">
        <v>0</v>
      </c>
      <c r="H271" s="9">
        <v>150</v>
      </c>
      <c r="I271" s="9">
        <v>0</v>
      </c>
      <c r="J271" s="9">
        <v>0</v>
      </c>
      <c r="K271" s="9">
        <v>1</v>
      </c>
      <c r="L271" s="9">
        <v>0</v>
      </c>
      <c r="M271" s="9">
        <v>3</v>
      </c>
      <c r="N271" s="9">
        <v>0</v>
      </c>
      <c r="O271" s="13">
        <f t="shared" si="25"/>
        <v>-2.3991203427186409</v>
      </c>
      <c r="P271" s="13">
        <f t="shared" si="26"/>
        <v>8.3239799359034972E-2</v>
      </c>
      <c r="Q271" s="13">
        <f t="shared" si="27"/>
        <v>0</v>
      </c>
      <c r="R271" s="13">
        <f t="shared" si="28"/>
        <v>0</v>
      </c>
      <c r="S271" s="13">
        <f t="shared" si="29"/>
        <v>0.91676020064096497</v>
      </c>
      <c r="T271" s="13">
        <f t="shared" si="30"/>
        <v>-8.6909345132185886E-2</v>
      </c>
    </row>
    <row r="272" spans="1:20" x14ac:dyDescent="0.3">
      <c r="A272" s="9">
        <v>61</v>
      </c>
      <c r="B272" s="9">
        <v>1</v>
      </c>
      <c r="C272" s="9">
        <v>4</v>
      </c>
      <c r="D272" s="9">
        <v>140</v>
      </c>
      <c r="E272" s="9">
        <v>207</v>
      </c>
      <c r="F272" s="9">
        <v>0</v>
      </c>
      <c r="G272" s="9">
        <v>2</v>
      </c>
      <c r="H272" s="9">
        <v>138</v>
      </c>
      <c r="I272" s="9">
        <v>1</v>
      </c>
      <c r="J272" s="9">
        <v>1.9</v>
      </c>
      <c r="K272" s="9">
        <v>1</v>
      </c>
      <c r="L272" s="9">
        <v>1</v>
      </c>
      <c r="M272" s="9">
        <v>7</v>
      </c>
      <c r="N272" s="9">
        <v>1</v>
      </c>
      <c r="O272" s="13">
        <f t="shared" si="25"/>
        <v>3.0600529464617239</v>
      </c>
      <c r="P272" s="13">
        <f t="shared" si="26"/>
        <v>0.95521456203868726</v>
      </c>
      <c r="Q272" s="13">
        <f t="shared" si="27"/>
        <v>1</v>
      </c>
      <c r="R272" s="13">
        <f t="shared" si="28"/>
        <v>0</v>
      </c>
      <c r="S272" s="13">
        <f t="shared" si="29"/>
        <v>0.95521456203868726</v>
      </c>
      <c r="T272" s="13">
        <f t="shared" si="30"/>
        <v>-4.5819291444627361E-2</v>
      </c>
    </row>
    <row r="273" spans="1:20" x14ac:dyDescent="0.3">
      <c r="A273" s="9">
        <v>66</v>
      </c>
      <c r="B273" s="9">
        <v>1</v>
      </c>
      <c r="C273" s="9">
        <v>4</v>
      </c>
      <c r="D273" s="9">
        <v>160</v>
      </c>
      <c r="E273" s="9">
        <v>228</v>
      </c>
      <c r="F273" s="9">
        <v>0</v>
      </c>
      <c r="G273" s="9">
        <v>2</v>
      </c>
      <c r="H273" s="9">
        <v>138</v>
      </c>
      <c r="I273" s="9">
        <v>0</v>
      </c>
      <c r="J273" s="9">
        <v>2.2999999999999998</v>
      </c>
      <c r="K273" s="9">
        <v>1</v>
      </c>
      <c r="L273" s="9">
        <v>0</v>
      </c>
      <c r="M273" s="9">
        <v>6</v>
      </c>
      <c r="N273" s="9">
        <v>0</v>
      </c>
      <c r="O273" s="13">
        <f t="shared" si="25"/>
        <v>1.1358256543756031</v>
      </c>
      <c r="P273" s="13">
        <f t="shared" si="26"/>
        <v>0.75691239996077297</v>
      </c>
      <c r="Q273" s="13">
        <f t="shared" si="27"/>
        <v>1</v>
      </c>
      <c r="R273" s="13">
        <f t="shared" si="28"/>
        <v>1</v>
      </c>
      <c r="S273" s="13">
        <f t="shared" si="29"/>
        <v>0.24308760003922703</v>
      </c>
      <c r="T273" s="13">
        <f t="shared" si="30"/>
        <v>-1.4143334066153461</v>
      </c>
    </row>
    <row r="274" spans="1:20" x14ac:dyDescent="0.3">
      <c r="A274" s="9">
        <v>46</v>
      </c>
      <c r="B274" s="9">
        <v>1</v>
      </c>
      <c r="C274" s="9">
        <v>4</v>
      </c>
      <c r="D274" s="9">
        <v>140</v>
      </c>
      <c r="E274" s="9">
        <v>311</v>
      </c>
      <c r="F274" s="9">
        <v>0</v>
      </c>
      <c r="G274" s="9">
        <v>0</v>
      </c>
      <c r="H274" s="9">
        <v>120</v>
      </c>
      <c r="I274" s="9">
        <v>1</v>
      </c>
      <c r="J274" s="9">
        <v>1.8</v>
      </c>
      <c r="K274" s="9">
        <v>2</v>
      </c>
      <c r="L274" s="9">
        <v>2</v>
      </c>
      <c r="M274" s="9">
        <v>7</v>
      </c>
      <c r="N274" s="9">
        <v>1</v>
      </c>
      <c r="O274" s="13">
        <f t="shared" si="25"/>
        <v>5.485519355928469</v>
      </c>
      <c r="P274" s="13">
        <f t="shared" si="26"/>
        <v>0.99587074041140933</v>
      </c>
      <c r="Q274" s="13">
        <f t="shared" si="27"/>
        <v>1</v>
      </c>
      <c r="R274" s="13">
        <f t="shared" si="28"/>
        <v>0</v>
      </c>
      <c r="S274" s="13">
        <f t="shared" si="29"/>
        <v>0.99587074041140933</v>
      </c>
      <c r="T274" s="13">
        <f t="shared" si="30"/>
        <v>-4.137808522927707E-3</v>
      </c>
    </row>
    <row r="275" spans="1:20" x14ac:dyDescent="0.3">
      <c r="A275" s="9">
        <v>71</v>
      </c>
      <c r="B275" s="9">
        <v>0</v>
      </c>
      <c r="C275" s="9">
        <v>4</v>
      </c>
      <c r="D275" s="9">
        <v>112</v>
      </c>
      <c r="E275" s="9">
        <v>149</v>
      </c>
      <c r="F275" s="9">
        <v>0</v>
      </c>
      <c r="G275" s="9">
        <v>0</v>
      </c>
      <c r="H275" s="9">
        <v>125</v>
      </c>
      <c r="I275" s="9">
        <v>0</v>
      </c>
      <c r="J275" s="9">
        <v>1.6</v>
      </c>
      <c r="K275" s="9">
        <v>2</v>
      </c>
      <c r="L275" s="9">
        <v>0</v>
      </c>
      <c r="M275" s="9">
        <v>3</v>
      </c>
      <c r="N275" s="9">
        <v>0</v>
      </c>
      <c r="O275" s="13">
        <f t="shared" si="25"/>
        <v>-2.6501903745730182</v>
      </c>
      <c r="P275" s="13">
        <f t="shared" si="26"/>
        <v>6.5977276826633513E-2</v>
      </c>
      <c r="Q275" s="13">
        <f t="shared" si="27"/>
        <v>0</v>
      </c>
      <c r="R275" s="13">
        <f t="shared" si="28"/>
        <v>0</v>
      </c>
      <c r="S275" s="13">
        <f t="shared" si="29"/>
        <v>0.93402272317336643</v>
      </c>
      <c r="T275" s="13">
        <f t="shared" si="30"/>
        <v>-6.8254512169829501E-2</v>
      </c>
    </row>
    <row r="276" spans="1:20" x14ac:dyDescent="0.3">
      <c r="A276" s="9">
        <v>59</v>
      </c>
      <c r="B276" s="9">
        <v>1</v>
      </c>
      <c r="C276" s="9">
        <v>1</v>
      </c>
      <c r="D276" s="9">
        <v>134</v>
      </c>
      <c r="E276" s="9">
        <v>204</v>
      </c>
      <c r="F276" s="9">
        <v>0</v>
      </c>
      <c r="G276" s="9">
        <v>0</v>
      </c>
      <c r="H276" s="9">
        <v>162</v>
      </c>
      <c r="I276" s="9">
        <v>0</v>
      </c>
      <c r="J276" s="9">
        <v>0.8</v>
      </c>
      <c r="K276" s="9">
        <v>1</v>
      </c>
      <c r="L276" s="9">
        <v>2</v>
      </c>
      <c r="M276" s="9">
        <v>3</v>
      </c>
      <c r="N276" s="9">
        <v>1</v>
      </c>
      <c r="O276" s="13">
        <f t="shared" si="25"/>
        <v>-1.0913084581231089</v>
      </c>
      <c r="P276" s="13">
        <f t="shared" si="26"/>
        <v>0.25137196728225503</v>
      </c>
      <c r="Q276" s="13">
        <f t="shared" si="27"/>
        <v>0</v>
      </c>
      <c r="R276" s="13">
        <f t="shared" si="28"/>
        <v>1</v>
      </c>
      <c r="S276" s="13">
        <f t="shared" si="29"/>
        <v>0.25137196728225503</v>
      </c>
      <c r="T276" s="13">
        <f t="shared" si="30"/>
        <v>-1.380821495478239</v>
      </c>
    </row>
    <row r="277" spans="1:20" x14ac:dyDescent="0.3">
      <c r="A277" s="9">
        <v>64</v>
      </c>
      <c r="B277" s="9">
        <v>1</v>
      </c>
      <c r="C277" s="9">
        <v>1</v>
      </c>
      <c r="D277" s="9">
        <v>170</v>
      </c>
      <c r="E277" s="9">
        <v>227</v>
      </c>
      <c r="F277" s="9">
        <v>0</v>
      </c>
      <c r="G277" s="9">
        <v>2</v>
      </c>
      <c r="H277" s="9">
        <v>155</v>
      </c>
      <c r="I277" s="9">
        <v>0</v>
      </c>
      <c r="J277" s="9">
        <v>0.6</v>
      </c>
      <c r="K277" s="9">
        <v>2</v>
      </c>
      <c r="L277" s="9">
        <v>0</v>
      </c>
      <c r="M277" s="9">
        <v>7</v>
      </c>
      <c r="N277" s="9">
        <v>0</v>
      </c>
      <c r="O277" s="13">
        <f t="shared" si="25"/>
        <v>-0.18654796961086362</v>
      </c>
      <c r="P277" s="13">
        <f t="shared" si="26"/>
        <v>0.4534977864257968</v>
      </c>
      <c r="Q277" s="13">
        <f t="shared" si="27"/>
        <v>0</v>
      </c>
      <c r="R277" s="13">
        <f t="shared" si="28"/>
        <v>0</v>
      </c>
      <c r="S277" s="13">
        <f t="shared" si="29"/>
        <v>0.54650221357420325</v>
      </c>
      <c r="T277" s="13">
        <f t="shared" si="30"/>
        <v>-0.60421692091774826</v>
      </c>
    </row>
    <row r="278" spans="1:20" x14ac:dyDescent="0.3">
      <c r="A278" s="9">
        <v>66</v>
      </c>
      <c r="B278" s="9">
        <v>0</v>
      </c>
      <c r="C278" s="9">
        <v>3</v>
      </c>
      <c r="D278" s="9">
        <v>146</v>
      </c>
      <c r="E278" s="9">
        <v>278</v>
      </c>
      <c r="F278" s="9">
        <v>0</v>
      </c>
      <c r="G278" s="9">
        <v>2</v>
      </c>
      <c r="H278" s="9">
        <v>152</v>
      </c>
      <c r="I278" s="9">
        <v>0</v>
      </c>
      <c r="J278" s="9">
        <v>0</v>
      </c>
      <c r="K278" s="9">
        <v>2</v>
      </c>
      <c r="L278" s="9">
        <v>1</v>
      </c>
      <c r="M278" s="9">
        <v>3</v>
      </c>
      <c r="N278" s="9">
        <v>0</v>
      </c>
      <c r="O278" s="13">
        <f t="shared" si="25"/>
        <v>-0.89184402472520574</v>
      </c>
      <c r="P278" s="13">
        <f t="shared" si="26"/>
        <v>0.29072943209915958</v>
      </c>
      <c r="Q278" s="13">
        <f t="shared" si="27"/>
        <v>0</v>
      </c>
      <c r="R278" s="13">
        <f t="shared" si="28"/>
        <v>0</v>
      </c>
      <c r="S278" s="13">
        <f t="shared" si="29"/>
        <v>0.70927056790084042</v>
      </c>
      <c r="T278" s="13">
        <f t="shared" si="30"/>
        <v>-0.34351820620594803</v>
      </c>
    </row>
    <row r="279" spans="1:20" x14ac:dyDescent="0.3">
      <c r="A279" s="9">
        <v>39</v>
      </c>
      <c r="B279" s="9">
        <v>0</v>
      </c>
      <c r="C279" s="9">
        <v>3</v>
      </c>
      <c r="D279" s="9">
        <v>138</v>
      </c>
      <c r="E279" s="9">
        <v>220</v>
      </c>
      <c r="F279" s="9">
        <v>0</v>
      </c>
      <c r="G279" s="9">
        <v>0</v>
      </c>
      <c r="H279" s="9">
        <v>152</v>
      </c>
      <c r="I279" s="9">
        <v>0</v>
      </c>
      <c r="J279" s="9">
        <v>0</v>
      </c>
      <c r="K279" s="9">
        <v>2</v>
      </c>
      <c r="L279" s="9">
        <v>0</v>
      </c>
      <c r="M279" s="9">
        <v>3</v>
      </c>
      <c r="N279" s="9">
        <v>0</v>
      </c>
      <c r="O279" s="13">
        <f t="shared" si="25"/>
        <v>-2.7481572491630448</v>
      </c>
      <c r="P279" s="13">
        <f t="shared" si="26"/>
        <v>6.0190806225796853E-2</v>
      </c>
      <c r="Q279" s="13">
        <f t="shared" si="27"/>
        <v>0</v>
      </c>
      <c r="R279" s="13">
        <f t="shared" si="28"/>
        <v>0</v>
      </c>
      <c r="S279" s="13">
        <f t="shared" si="29"/>
        <v>0.93980919377420313</v>
      </c>
      <c r="T279" s="13">
        <f t="shared" si="30"/>
        <v>-6.2078409668993646E-2</v>
      </c>
    </row>
    <row r="280" spans="1:20" x14ac:dyDescent="0.3">
      <c r="A280" s="9">
        <v>57</v>
      </c>
      <c r="B280" s="9">
        <v>1</v>
      </c>
      <c r="C280" s="9">
        <v>2</v>
      </c>
      <c r="D280" s="9">
        <v>154</v>
      </c>
      <c r="E280" s="9">
        <v>232</v>
      </c>
      <c r="F280" s="9">
        <v>0</v>
      </c>
      <c r="G280" s="9">
        <v>2</v>
      </c>
      <c r="H280" s="9">
        <v>164</v>
      </c>
      <c r="I280" s="9">
        <v>0</v>
      </c>
      <c r="J280" s="9">
        <v>0</v>
      </c>
      <c r="K280" s="9">
        <v>1</v>
      </c>
      <c r="L280" s="9">
        <v>1</v>
      </c>
      <c r="M280" s="9">
        <v>3</v>
      </c>
      <c r="N280" s="9">
        <v>1</v>
      </c>
      <c r="O280" s="13">
        <f t="shared" si="25"/>
        <v>-0.88356302480407223</v>
      </c>
      <c r="P280" s="13">
        <f t="shared" si="26"/>
        <v>0.29243997710362718</v>
      </c>
      <c r="Q280" s="13">
        <f t="shared" si="27"/>
        <v>0</v>
      </c>
      <c r="R280" s="13">
        <f t="shared" si="28"/>
        <v>1</v>
      </c>
      <c r="S280" s="13">
        <f t="shared" si="29"/>
        <v>0.29243997710362718</v>
      </c>
      <c r="T280" s="13">
        <f t="shared" si="30"/>
        <v>-1.229495839851283</v>
      </c>
    </row>
    <row r="281" spans="1:20" x14ac:dyDescent="0.3">
      <c r="A281" s="9">
        <v>58</v>
      </c>
      <c r="B281" s="9">
        <v>0</v>
      </c>
      <c r="C281" s="9">
        <v>4</v>
      </c>
      <c r="D281" s="9">
        <v>130</v>
      </c>
      <c r="E281" s="9">
        <v>197</v>
      </c>
      <c r="F281" s="9">
        <v>0</v>
      </c>
      <c r="G281" s="9">
        <v>0</v>
      </c>
      <c r="H281" s="9">
        <v>131</v>
      </c>
      <c r="I281" s="9">
        <v>0</v>
      </c>
      <c r="J281" s="9">
        <v>0.6</v>
      </c>
      <c r="K281" s="9">
        <v>2</v>
      </c>
      <c r="L281" s="9">
        <v>0</v>
      </c>
      <c r="M281" s="9">
        <v>3</v>
      </c>
      <c r="N281" s="9">
        <v>0</v>
      </c>
      <c r="O281" s="13">
        <f t="shared" si="25"/>
        <v>-2.1657482587349186</v>
      </c>
      <c r="P281" s="13">
        <f t="shared" si="26"/>
        <v>0.10286875091179208</v>
      </c>
      <c r="Q281" s="13">
        <f t="shared" si="27"/>
        <v>0</v>
      </c>
      <c r="R281" s="13">
        <f t="shared" si="28"/>
        <v>0</v>
      </c>
      <c r="S281" s="13">
        <f t="shared" si="29"/>
        <v>0.89713124908820796</v>
      </c>
      <c r="T281" s="13">
        <f t="shared" si="30"/>
        <v>-0.10855310757333235</v>
      </c>
    </row>
    <row r="282" spans="1:20" x14ac:dyDescent="0.3">
      <c r="A282" s="9">
        <v>57</v>
      </c>
      <c r="B282" s="9">
        <v>1</v>
      </c>
      <c r="C282" s="9">
        <v>4</v>
      </c>
      <c r="D282" s="9">
        <v>110</v>
      </c>
      <c r="E282" s="9">
        <v>335</v>
      </c>
      <c r="F282" s="9">
        <v>0</v>
      </c>
      <c r="G282" s="9">
        <v>0</v>
      </c>
      <c r="H282" s="9">
        <v>143</v>
      </c>
      <c r="I282" s="9">
        <v>1</v>
      </c>
      <c r="J282" s="9">
        <v>3</v>
      </c>
      <c r="K282" s="9">
        <v>2</v>
      </c>
      <c r="L282" s="9">
        <v>1</v>
      </c>
      <c r="M282" s="9">
        <v>7</v>
      </c>
      <c r="N282" s="9">
        <v>1</v>
      </c>
      <c r="O282" s="13">
        <f t="shared" si="25"/>
        <v>3.281717907374496</v>
      </c>
      <c r="P282" s="13">
        <f t="shared" si="26"/>
        <v>0.96379627437805915</v>
      </c>
      <c r="Q282" s="13">
        <f t="shared" si="27"/>
        <v>1</v>
      </c>
      <c r="R282" s="13">
        <f t="shared" si="28"/>
        <v>0</v>
      </c>
      <c r="S282" s="13">
        <f t="shared" si="29"/>
        <v>0.96379627437805915</v>
      </c>
      <c r="T282" s="13">
        <f t="shared" si="30"/>
        <v>-3.6875340338409009E-2</v>
      </c>
    </row>
    <row r="283" spans="1:20" x14ac:dyDescent="0.3">
      <c r="A283" s="9">
        <v>47</v>
      </c>
      <c r="B283" s="9">
        <v>1</v>
      </c>
      <c r="C283" s="9">
        <v>3</v>
      </c>
      <c r="D283" s="9">
        <v>130</v>
      </c>
      <c r="E283" s="9">
        <v>253</v>
      </c>
      <c r="F283" s="9">
        <v>0</v>
      </c>
      <c r="G283" s="9">
        <v>0</v>
      </c>
      <c r="H283" s="9">
        <v>179</v>
      </c>
      <c r="I283" s="9">
        <v>0</v>
      </c>
      <c r="J283" s="9">
        <v>0</v>
      </c>
      <c r="K283" s="9">
        <v>1</v>
      </c>
      <c r="L283" s="9">
        <v>0</v>
      </c>
      <c r="M283" s="9">
        <v>3</v>
      </c>
      <c r="N283" s="9">
        <v>0</v>
      </c>
      <c r="O283" s="13">
        <f t="shared" si="25"/>
        <v>-2.7064537486763625</v>
      </c>
      <c r="P283" s="13">
        <f t="shared" si="26"/>
        <v>6.2593607494407164E-2</v>
      </c>
      <c r="Q283" s="13">
        <f t="shared" si="27"/>
        <v>0</v>
      </c>
      <c r="R283" s="13">
        <f t="shared" si="28"/>
        <v>0</v>
      </c>
      <c r="S283" s="13">
        <f t="shared" si="29"/>
        <v>0.93740639250559288</v>
      </c>
      <c r="T283" s="13">
        <f t="shared" si="30"/>
        <v>-6.4638374116748235E-2</v>
      </c>
    </row>
    <row r="284" spans="1:20" x14ac:dyDescent="0.3">
      <c r="A284" s="9">
        <v>55</v>
      </c>
      <c r="B284" s="9">
        <v>0</v>
      </c>
      <c r="C284" s="9">
        <v>4</v>
      </c>
      <c r="D284" s="9">
        <v>128</v>
      </c>
      <c r="E284" s="9">
        <v>205</v>
      </c>
      <c r="F284" s="9">
        <v>0</v>
      </c>
      <c r="G284" s="9">
        <v>1</v>
      </c>
      <c r="H284" s="9">
        <v>130</v>
      </c>
      <c r="I284" s="9">
        <v>1</v>
      </c>
      <c r="J284" s="9">
        <v>2</v>
      </c>
      <c r="K284" s="9">
        <v>2</v>
      </c>
      <c r="L284" s="9">
        <v>1</v>
      </c>
      <c r="M284" s="9">
        <v>7</v>
      </c>
      <c r="N284" s="9">
        <v>1</v>
      </c>
      <c r="O284" s="13">
        <f t="shared" si="25"/>
        <v>2.0502523069095755</v>
      </c>
      <c r="P284" s="13">
        <f t="shared" si="26"/>
        <v>0.88597311044703664</v>
      </c>
      <c r="Q284" s="13">
        <f t="shared" si="27"/>
        <v>1</v>
      </c>
      <c r="R284" s="13">
        <f t="shared" si="28"/>
        <v>0</v>
      </c>
      <c r="S284" s="13">
        <f t="shared" si="29"/>
        <v>0.88597311044703664</v>
      </c>
      <c r="T284" s="13">
        <f t="shared" si="30"/>
        <v>-0.12106867822018509</v>
      </c>
    </row>
    <row r="285" spans="1:20" x14ac:dyDescent="0.3">
      <c r="A285" s="9">
        <v>35</v>
      </c>
      <c r="B285" s="9">
        <v>1</v>
      </c>
      <c r="C285" s="9">
        <v>2</v>
      </c>
      <c r="D285" s="9">
        <v>122</v>
      </c>
      <c r="E285" s="9">
        <v>192</v>
      </c>
      <c r="F285" s="9">
        <v>0</v>
      </c>
      <c r="G285" s="9">
        <v>0</v>
      </c>
      <c r="H285" s="9">
        <v>174</v>
      </c>
      <c r="I285" s="9">
        <v>0</v>
      </c>
      <c r="J285" s="9">
        <v>0</v>
      </c>
      <c r="K285" s="9">
        <v>1</v>
      </c>
      <c r="L285" s="9">
        <v>0</v>
      </c>
      <c r="M285" s="9">
        <v>3</v>
      </c>
      <c r="N285" s="9">
        <v>0</v>
      </c>
      <c r="O285" s="13">
        <f t="shared" si="25"/>
        <v>-3.5045837063312475</v>
      </c>
      <c r="P285" s="13">
        <f t="shared" si="26"/>
        <v>2.9182091448343252E-2</v>
      </c>
      <c r="Q285" s="13">
        <f t="shared" si="27"/>
        <v>0</v>
      </c>
      <c r="R285" s="13">
        <f t="shared" si="28"/>
        <v>0</v>
      </c>
      <c r="S285" s="13">
        <f t="shared" si="29"/>
        <v>0.97081790855165673</v>
      </c>
      <c r="T285" s="13">
        <f t="shared" si="30"/>
        <v>-2.961635808964402E-2</v>
      </c>
    </row>
    <row r="286" spans="1:20" x14ac:dyDescent="0.3">
      <c r="A286" s="9">
        <v>61</v>
      </c>
      <c r="B286" s="9">
        <v>1</v>
      </c>
      <c r="C286" s="9">
        <v>4</v>
      </c>
      <c r="D286" s="9">
        <v>148</v>
      </c>
      <c r="E286" s="9">
        <v>203</v>
      </c>
      <c r="F286" s="9">
        <v>0</v>
      </c>
      <c r="G286" s="9">
        <v>0</v>
      </c>
      <c r="H286" s="9">
        <v>161</v>
      </c>
      <c r="I286" s="9">
        <v>0</v>
      </c>
      <c r="J286" s="9">
        <v>0</v>
      </c>
      <c r="K286" s="9">
        <v>1</v>
      </c>
      <c r="L286" s="9">
        <v>1</v>
      </c>
      <c r="M286" s="9">
        <v>7</v>
      </c>
      <c r="N286" s="9">
        <v>1</v>
      </c>
      <c r="O286" s="13">
        <f t="shared" si="25"/>
        <v>0.86983782726413494</v>
      </c>
      <c r="P286" s="13">
        <f t="shared" si="26"/>
        <v>0.70471195210465765</v>
      </c>
      <c r="Q286" s="13">
        <f t="shared" si="27"/>
        <v>1</v>
      </c>
      <c r="R286" s="13">
        <f t="shared" si="28"/>
        <v>0</v>
      </c>
      <c r="S286" s="13">
        <f t="shared" si="29"/>
        <v>0.70471195210465765</v>
      </c>
      <c r="T286" s="13">
        <f t="shared" si="30"/>
        <v>-0.34996613823579059</v>
      </c>
    </row>
    <row r="287" spans="1:20" x14ac:dyDescent="0.3">
      <c r="A287" s="9">
        <v>58</v>
      </c>
      <c r="B287" s="9">
        <v>1</v>
      </c>
      <c r="C287" s="9">
        <v>4</v>
      </c>
      <c r="D287" s="9">
        <v>114</v>
      </c>
      <c r="E287" s="9">
        <v>318</v>
      </c>
      <c r="F287" s="9">
        <v>0</v>
      </c>
      <c r="G287" s="9">
        <v>1</v>
      </c>
      <c r="H287" s="9">
        <v>140</v>
      </c>
      <c r="I287" s="9">
        <v>0</v>
      </c>
      <c r="J287" s="9">
        <v>4.4000000000000004</v>
      </c>
      <c r="K287" s="9">
        <v>3</v>
      </c>
      <c r="L287" s="9">
        <v>3</v>
      </c>
      <c r="M287" s="9">
        <v>6</v>
      </c>
      <c r="N287" s="9">
        <v>1</v>
      </c>
      <c r="O287" s="13">
        <f t="shared" si="25"/>
        <v>5.7677152855700449</v>
      </c>
      <c r="P287" s="13">
        <f t="shared" si="26"/>
        <v>0.9968828535668417</v>
      </c>
      <c r="Q287" s="13">
        <f t="shared" si="27"/>
        <v>1</v>
      </c>
      <c r="R287" s="13">
        <f t="shared" si="28"/>
        <v>0</v>
      </c>
      <c r="S287" s="13">
        <f t="shared" si="29"/>
        <v>0.9968828535668417</v>
      </c>
      <c r="T287" s="13">
        <f t="shared" si="30"/>
        <v>-3.1220148537869155E-3</v>
      </c>
    </row>
    <row r="288" spans="1:20" x14ac:dyDescent="0.3">
      <c r="A288" s="9">
        <v>58</v>
      </c>
      <c r="B288" s="9">
        <v>0</v>
      </c>
      <c r="C288" s="9">
        <v>4</v>
      </c>
      <c r="D288" s="9">
        <v>170</v>
      </c>
      <c r="E288" s="9">
        <v>225</v>
      </c>
      <c r="F288" s="9">
        <v>1</v>
      </c>
      <c r="G288" s="9">
        <v>2</v>
      </c>
      <c r="H288" s="9">
        <v>146</v>
      </c>
      <c r="I288" s="9">
        <v>1</v>
      </c>
      <c r="J288" s="9">
        <v>2.8</v>
      </c>
      <c r="K288" s="9">
        <v>2</v>
      </c>
      <c r="L288" s="9">
        <v>2</v>
      </c>
      <c r="M288" s="9">
        <v>6</v>
      </c>
      <c r="N288" s="9">
        <v>1</v>
      </c>
      <c r="O288" s="13">
        <f t="shared" si="25"/>
        <v>3.1304787429997134</v>
      </c>
      <c r="P288" s="13">
        <f t="shared" si="26"/>
        <v>0.95813260170013692</v>
      </c>
      <c r="Q288" s="13">
        <f t="shared" si="27"/>
        <v>1</v>
      </c>
      <c r="R288" s="13">
        <f t="shared" si="28"/>
        <v>0</v>
      </c>
      <c r="S288" s="13">
        <f t="shared" si="29"/>
        <v>0.95813260170013692</v>
      </c>
      <c r="T288" s="13">
        <f t="shared" si="30"/>
        <v>-4.2769095453925265E-2</v>
      </c>
    </row>
    <row r="289" spans="1:20" x14ac:dyDescent="0.3">
      <c r="A289" s="9">
        <v>56</v>
      </c>
      <c r="B289" s="9">
        <v>1</v>
      </c>
      <c r="C289" s="9">
        <v>2</v>
      </c>
      <c r="D289" s="9">
        <v>130</v>
      </c>
      <c r="E289" s="9">
        <v>221</v>
      </c>
      <c r="F289" s="9">
        <v>0</v>
      </c>
      <c r="G289" s="9">
        <v>2</v>
      </c>
      <c r="H289" s="9">
        <v>163</v>
      </c>
      <c r="I289" s="9">
        <v>0</v>
      </c>
      <c r="J289" s="9">
        <v>0</v>
      </c>
      <c r="K289" s="9">
        <v>1</v>
      </c>
      <c r="L289" s="9">
        <v>0</v>
      </c>
      <c r="M289" s="9">
        <v>7</v>
      </c>
      <c r="N289" s="9">
        <v>0</v>
      </c>
      <c r="O289" s="13">
        <f t="shared" si="25"/>
        <v>-1.3717066330916392</v>
      </c>
      <c r="P289" s="13">
        <f t="shared" si="26"/>
        <v>0.20234425411531362</v>
      </c>
      <c r="Q289" s="13">
        <f t="shared" si="27"/>
        <v>0</v>
      </c>
      <c r="R289" s="13">
        <f t="shared" si="28"/>
        <v>0</v>
      </c>
      <c r="S289" s="13">
        <f t="shared" si="29"/>
        <v>0.79765574588468635</v>
      </c>
      <c r="T289" s="13">
        <f t="shared" si="30"/>
        <v>-0.22607817074488895</v>
      </c>
    </row>
    <row r="290" spans="1:20" x14ac:dyDescent="0.3">
      <c r="A290" s="9">
        <v>56</v>
      </c>
      <c r="B290" s="9">
        <v>1</v>
      </c>
      <c r="C290" s="9">
        <v>2</v>
      </c>
      <c r="D290" s="9">
        <v>120</v>
      </c>
      <c r="E290" s="9">
        <v>240</v>
      </c>
      <c r="F290" s="9">
        <v>0</v>
      </c>
      <c r="G290" s="9">
        <v>0</v>
      </c>
      <c r="H290" s="9">
        <v>169</v>
      </c>
      <c r="I290" s="9">
        <v>0</v>
      </c>
      <c r="J290" s="9">
        <v>0</v>
      </c>
      <c r="K290" s="9">
        <v>3</v>
      </c>
      <c r="L290" s="9">
        <v>0</v>
      </c>
      <c r="M290" s="9">
        <v>3</v>
      </c>
      <c r="N290" s="9">
        <v>0</v>
      </c>
      <c r="O290" s="13">
        <f t="shared" si="25"/>
        <v>-2.3686660683273493</v>
      </c>
      <c r="P290" s="13">
        <f t="shared" si="26"/>
        <v>8.559348488889143E-2</v>
      </c>
      <c r="Q290" s="13">
        <f t="shared" si="27"/>
        <v>0</v>
      </c>
      <c r="R290" s="13">
        <f t="shared" si="28"/>
        <v>0</v>
      </c>
      <c r="S290" s="13">
        <f t="shared" si="29"/>
        <v>0.9144065151111086</v>
      </c>
      <c r="T290" s="13">
        <f t="shared" si="30"/>
        <v>-8.9480041514770417E-2</v>
      </c>
    </row>
    <row r="291" spans="1:20" x14ac:dyDescent="0.3">
      <c r="A291" s="9">
        <v>67</v>
      </c>
      <c r="B291" s="9">
        <v>1</v>
      </c>
      <c r="C291" s="9">
        <v>3</v>
      </c>
      <c r="D291" s="9">
        <v>152</v>
      </c>
      <c r="E291" s="9">
        <v>212</v>
      </c>
      <c r="F291" s="9">
        <v>0</v>
      </c>
      <c r="G291" s="9">
        <v>2</v>
      </c>
      <c r="H291" s="9">
        <v>150</v>
      </c>
      <c r="I291" s="9">
        <v>0</v>
      </c>
      <c r="J291" s="9">
        <v>0.8</v>
      </c>
      <c r="K291" s="9">
        <v>2</v>
      </c>
      <c r="L291" s="9">
        <v>0</v>
      </c>
      <c r="M291" s="9">
        <v>7</v>
      </c>
      <c r="N291" s="9">
        <v>1</v>
      </c>
      <c r="O291" s="13">
        <f t="shared" si="25"/>
        <v>0.5681447398933539</v>
      </c>
      <c r="P291" s="13">
        <f t="shared" si="26"/>
        <v>0.63833497344723533</v>
      </c>
      <c r="Q291" s="13">
        <f t="shared" si="27"/>
        <v>1</v>
      </c>
      <c r="R291" s="13">
        <f t="shared" si="28"/>
        <v>0</v>
      </c>
      <c r="S291" s="13">
        <f t="shared" si="29"/>
        <v>0.63833497344723533</v>
      </c>
      <c r="T291" s="13">
        <f t="shared" si="30"/>
        <v>-0.44889209666976415</v>
      </c>
    </row>
    <row r="292" spans="1:20" x14ac:dyDescent="0.3">
      <c r="A292" s="9">
        <v>55</v>
      </c>
      <c r="B292" s="9">
        <v>0</v>
      </c>
      <c r="C292" s="9">
        <v>2</v>
      </c>
      <c r="D292" s="9">
        <v>132</v>
      </c>
      <c r="E292" s="9">
        <v>342</v>
      </c>
      <c r="F292" s="9">
        <v>0</v>
      </c>
      <c r="G292" s="9">
        <v>0</v>
      </c>
      <c r="H292" s="9">
        <v>166</v>
      </c>
      <c r="I292" s="9">
        <v>0</v>
      </c>
      <c r="J292" s="9">
        <v>1.2</v>
      </c>
      <c r="K292" s="9">
        <v>1</v>
      </c>
      <c r="L292" s="9">
        <v>0</v>
      </c>
      <c r="M292" s="9">
        <v>3</v>
      </c>
      <c r="N292" s="9">
        <v>0</v>
      </c>
      <c r="O292" s="13">
        <f t="shared" si="25"/>
        <v>-3.6495089895102981</v>
      </c>
      <c r="P292" s="13">
        <f t="shared" si="26"/>
        <v>2.5344829571945841E-2</v>
      </c>
      <c r="Q292" s="13">
        <f t="shared" si="27"/>
        <v>0</v>
      </c>
      <c r="R292" s="13">
        <f t="shared" si="28"/>
        <v>0</v>
      </c>
      <c r="S292" s="13">
        <f t="shared" si="29"/>
        <v>0.97465517042805416</v>
      </c>
      <c r="T292" s="13">
        <f t="shared" si="30"/>
        <v>-2.5671541896595786E-2</v>
      </c>
    </row>
    <row r="293" spans="1:20" x14ac:dyDescent="0.3">
      <c r="A293" s="9">
        <v>44</v>
      </c>
      <c r="B293" s="9">
        <v>1</v>
      </c>
      <c r="C293" s="9">
        <v>4</v>
      </c>
      <c r="D293" s="9">
        <v>120</v>
      </c>
      <c r="E293" s="9">
        <v>169</v>
      </c>
      <c r="F293" s="9">
        <v>0</v>
      </c>
      <c r="G293" s="9">
        <v>0</v>
      </c>
      <c r="H293" s="9">
        <v>144</v>
      </c>
      <c r="I293" s="9">
        <v>1</v>
      </c>
      <c r="J293" s="9">
        <v>2.8</v>
      </c>
      <c r="K293" s="9">
        <v>3</v>
      </c>
      <c r="L293" s="9">
        <v>0</v>
      </c>
      <c r="M293" s="9">
        <v>6</v>
      </c>
      <c r="N293" s="9">
        <v>1</v>
      </c>
      <c r="O293" s="13">
        <f t="shared" si="25"/>
        <v>1.7670279319039892</v>
      </c>
      <c r="P293" s="13">
        <f t="shared" si="26"/>
        <v>0.85408767588228729</v>
      </c>
      <c r="Q293" s="13">
        <f t="shared" si="27"/>
        <v>1</v>
      </c>
      <c r="R293" s="13">
        <f t="shared" si="28"/>
        <v>0</v>
      </c>
      <c r="S293" s="13">
        <f t="shared" si="29"/>
        <v>0.85408767588228729</v>
      </c>
      <c r="T293" s="13">
        <f t="shared" si="30"/>
        <v>-0.15772142549570478</v>
      </c>
    </row>
    <row r="294" spans="1:20" x14ac:dyDescent="0.3">
      <c r="A294" s="9">
        <v>63</v>
      </c>
      <c r="B294" s="9">
        <v>1</v>
      </c>
      <c r="C294" s="9">
        <v>4</v>
      </c>
      <c r="D294" s="9">
        <v>140</v>
      </c>
      <c r="E294" s="9">
        <v>187</v>
      </c>
      <c r="F294" s="9">
        <v>0</v>
      </c>
      <c r="G294" s="9">
        <v>2</v>
      </c>
      <c r="H294" s="9">
        <v>144</v>
      </c>
      <c r="I294" s="9">
        <v>1</v>
      </c>
      <c r="J294" s="9">
        <v>4</v>
      </c>
      <c r="K294" s="9">
        <v>1</v>
      </c>
      <c r="L294" s="9">
        <v>2</v>
      </c>
      <c r="M294" s="9">
        <v>7</v>
      </c>
      <c r="N294" s="9">
        <v>1</v>
      </c>
      <c r="O294" s="13">
        <f t="shared" si="25"/>
        <v>4.5949860392522197</v>
      </c>
      <c r="P294" s="13">
        <f t="shared" si="26"/>
        <v>0.98999867518540197</v>
      </c>
      <c r="Q294" s="13">
        <f t="shared" si="27"/>
        <v>1</v>
      </c>
      <c r="R294" s="13">
        <f t="shared" si="28"/>
        <v>0</v>
      </c>
      <c r="S294" s="13">
        <f t="shared" si="29"/>
        <v>0.98999867518540197</v>
      </c>
      <c r="T294" s="13">
        <f t="shared" si="30"/>
        <v>-1.0051674050960498E-2</v>
      </c>
    </row>
    <row r="295" spans="1:20" x14ac:dyDescent="0.3">
      <c r="A295" s="9">
        <v>63</v>
      </c>
      <c r="B295" s="9">
        <v>0</v>
      </c>
      <c r="C295" s="9">
        <v>4</v>
      </c>
      <c r="D295" s="9">
        <v>124</v>
      </c>
      <c r="E295" s="9">
        <v>197</v>
      </c>
      <c r="F295" s="9">
        <v>0</v>
      </c>
      <c r="G295" s="9">
        <v>0</v>
      </c>
      <c r="H295" s="9">
        <v>136</v>
      </c>
      <c r="I295" s="9">
        <v>1</v>
      </c>
      <c r="J295" s="9">
        <v>0</v>
      </c>
      <c r="K295" s="9">
        <v>2</v>
      </c>
      <c r="L295" s="9">
        <v>0</v>
      </c>
      <c r="M295" s="9">
        <v>3</v>
      </c>
      <c r="N295" s="9">
        <v>1</v>
      </c>
      <c r="O295" s="13">
        <f t="shared" si="25"/>
        <v>-1.7069743232608463</v>
      </c>
      <c r="P295" s="13">
        <f t="shared" si="26"/>
        <v>0.15355657190108418</v>
      </c>
      <c r="Q295" s="13">
        <f t="shared" si="27"/>
        <v>0</v>
      </c>
      <c r="R295" s="13">
        <f t="shared" si="28"/>
        <v>1</v>
      </c>
      <c r="S295" s="13">
        <f t="shared" si="29"/>
        <v>0.15355657190108418</v>
      </c>
      <c r="T295" s="13">
        <f t="shared" si="30"/>
        <v>-1.8736862332646294</v>
      </c>
    </row>
    <row r="296" spans="1:20" x14ac:dyDescent="0.3">
      <c r="A296" s="9">
        <v>41</v>
      </c>
      <c r="B296" s="9">
        <v>1</v>
      </c>
      <c r="C296" s="9">
        <v>2</v>
      </c>
      <c r="D296" s="9">
        <v>120</v>
      </c>
      <c r="E296" s="9">
        <v>157</v>
      </c>
      <c r="F296" s="9">
        <v>0</v>
      </c>
      <c r="G296" s="9">
        <v>0</v>
      </c>
      <c r="H296" s="9">
        <v>182</v>
      </c>
      <c r="I296" s="9">
        <v>0</v>
      </c>
      <c r="J296" s="9">
        <v>0</v>
      </c>
      <c r="K296" s="9">
        <v>1</v>
      </c>
      <c r="L296" s="9">
        <v>0</v>
      </c>
      <c r="M296" s="9">
        <v>3</v>
      </c>
      <c r="N296" s="9">
        <v>0</v>
      </c>
      <c r="O296" s="13">
        <f t="shared" si="25"/>
        <v>-3.9777360604340197</v>
      </c>
      <c r="P296" s="13">
        <f t="shared" si="26"/>
        <v>1.8383700648408548E-2</v>
      </c>
      <c r="Q296" s="13">
        <f t="shared" si="27"/>
        <v>0</v>
      </c>
      <c r="R296" s="13">
        <f t="shared" si="28"/>
        <v>0</v>
      </c>
      <c r="S296" s="13">
        <f t="shared" si="29"/>
        <v>0.98161629935159145</v>
      </c>
      <c r="T296" s="13">
        <f t="shared" si="30"/>
        <v>-1.8554780841885506E-2</v>
      </c>
    </row>
    <row r="297" spans="1:20" x14ac:dyDescent="0.3">
      <c r="A297" s="9">
        <v>59</v>
      </c>
      <c r="B297" s="9">
        <v>1</v>
      </c>
      <c r="C297" s="9">
        <v>4</v>
      </c>
      <c r="D297" s="9">
        <v>164</v>
      </c>
      <c r="E297" s="9">
        <v>176</v>
      </c>
      <c r="F297" s="9">
        <v>1</v>
      </c>
      <c r="G297" s="9">
        <v>2</v>
      </c>
      <c r="H297" s="9">
        <v>90</v>
      </c>
      <c r="I297" s="9">
        <v>0</v>
      </c>
      <c r="J297" s="9">
        <v>1</v>
      </c>
      <c r="K297" s="9">
        <v>2</v>
      </c>
      <c r="L297" s="9">
        <v>2</v>
      </c>
      <c r="M297" s="9">
        <v>6</v>
      </c>
      <c r="N297" s="9">
        <v>1</v>
      </c>
      <c r="O297" s="13">
        <f t="shared" si="25"/>
        <v>3.8271611215114767</v>
      </c>
      <c r="P297" s="13">
        <f t="shared" si="26"/>
        <v>0.9786925573001054</v>
      </c>
      <c r="Q297" s="13">
        <f t="shared" si="27"/>
        <v>1</v>
      </c>
      <c r="R297" s="13">
        <f t="shared" si="28"/>
        <v>0</v>
      </c>
      <c r="S297" s="13">
        <f t="shared" si="29"/>
        <v>0.9786925573001054</v>
      </c>
      <c r="T297" s="13">
        <f t="shared" si="30"/>
        <v>-2.1537723258848378E-2</v>
      </c>
    </row>
    <row r="298" spans="1:20" x14ac:dyDescent="0.3">
      <c r="A298" s="9">
        <v>57</v>
      </c>
      <c r="B298" s="9">
        <v>0</v>
      </c>
      <c r="C298" s="9">
        <v>4</v>
      </c>
      <c r="D298" s="9">
        <v>140</v>
      </c>
      <c r="E298" s="9">
        <v>241</v>
      </c>
      <c r="F298" s="9">
        <v>0</v>
      </c>
      <c r="G298" s="9">
        <v>0</v>
      </c>
      <c r="H298" s="9">
        <v>123</v>
      </c>
      <c r="I298" s="9">
        <v>1</v>
      </c>
      <c r="J298" s="9">
        <v>0.2</v>
      </c>
      <c r="K298" s="9">
        <v>2</v>
      </c>
      <c r="L298" s="9">
        <v>0</v>
      </c>
      <c r="M298" s="9">
        <v>7</v>
      </c>
      <c r="N298" s="9">
        <v>1</v>
      </c>
      <c r="O298" s="13">
        <f t="shared" si="25"/>
        <v>0.67617113460314116</v>
      </c>
      <c r="P298" s="13">
        <f t="shared" si="26"/>
        <v>0.66288359927380747</v>
      </c>
      <c r="Q298" s="13">
        <f t="shared" si="27"/>
        <v>1</v>
      </c>
      <c r="R298" s="13">
        <f t="shared" si="28"/>
        <v>0</v>
      </c>
      <c r="S298" s="13">
        <f t="shared" si="29"/>
        <v>0.66288359927380747</v>
      </c>
      <c r="T298" s="13">
        <f t="shared" si="30"/>
        <v>-0.41115587091608558</v>
      </c>
    </row>
    <row r="299" spans="1:20" x14ac:dyDescent="0.3">
      <c r="A299" s="9">
        <v>45</v>
      </c>
      <c r="B299" s="9">
        <v>1</v>
      </c>
      <c r="C299" s="9">
        <v>1</v>
      </c>
      <c r="D299" s="9">
        <v>110</v>
      </c>
      <c r="E299" s="9">
        <v>264</v>
      </c>
      <c r="F299" s="9">
        <v>0</v>
      </c>
      <c r="G299" s="9">
        <v>0</v>
      </c>
      <c r="H299" s="9">
        <v>132</v>
      </c>
      <c r="I299" s="9">
        <v>0</v>
      </c>
      <c r="J299" s="9">
        <v>1.2</v>
      </c>
      <c r="K299" s="9">
        <v>2</v>
      </c>
      <c r="L299" s="9">
        <v>0</v>
      </c>
      <c r="M299" s="9">
        <v>7</v>
      </c>
      <c r="N299" s="9">
        <v>1</v>
      </c>
      <c r="O299" s="13">
        <f t="shared" si="25"/>
        <v>-1.0400228837774304</v>
      </c>
      <c r="P299" s="13">
        <f t="shared" si="26"/>
        <v>0.26114557849959252</v>
      </c>
      <c r="Q299" s="13">
        <f t="shared" si="27"/>
        <v>0</v>
      </c>
      <c r="R299" s="13">
        <f t="shared" si="28"/>
        <v>1</v>
      </c>
      <c r="S299" s="13">
        <f t="shared" si="29"/>
        <v>0.26114557849959252</v>
      </c>
      <c r="T299" s="13">
        <f t="shared" si="30"/>
        <v>-1.3426772551273531</v>
      </c>
    </row>
    <row r="300" spans="1:20" x14ac:dyDescent="0.3">
      <c r="A300" s="9">
        <v>68</v>
      </c>
      <c r="B300" s="9">
        <v>1</v>
      </c>
      <c r="C300" s="9">
        <v>4</v>
      </c>
      <c r="D300" s="9">
        <v>144</v>
      </c>
      <c r="E300" s="9">
        <v>193</v>
      </c>
      <c r="F300" s="9">
        <v>1</v>
      </c>
      <c r="G300" s="9">
        <v>0</v>
      </c>
      <c r="H300" s="9">
        <v>141</v>
      </c>
      <c r="I300" s="9">
        <v>0</v>
      </c>
      <c r="J300" s="9">
        <v>3.4</v>
      </c>
      <c r="K300" s="9">
        <v>2</v>
      </c>
      <c r="L300" s="9">
        <v>2</v>
      </c>
      <c r="M300" s="9">
        <v>7</v>
      </c>
      <c r="N300" s="9">
        <v>1</v>
      </c>
      <c r="O300" s="13">
        <f t="shared" si="25"/>
        <v>2.6954335191484802</v>
      </c>
      <c r="P300" s="13">
        <f t="shared" si="26"/>
        <v>0.93675664799920177</v>
      </c>
      <c r="Q300" s="13">
        <f t="shared" si="27"/>
        <v>1</v>
      </c>
      <c r="R300" s="13">
        <f t="shared" si="28"/>
        <v>0</v>
      </c>
      <c r="S300" s="13">
        <f t="shared" si="29"/>
        <v>0.93675664799920177</v>
      </c>
      <c r="T300" s="13">
        <f t="shared" si="30"/>
        <v>-6.5331744456873134E-2</v>
      </c>
    </row>
    <row r="301" spans="1:20" x14ac:dyDescent="0.3">
      <c r="A301" s="9">
        <v>57</v>
      </c>
      <c r="B301" s="9">
        <v>1</v>
      </c>
      <c r="C301" s="9">
        <v>4</v>
      </c>
      <c r="D301" s="9">
        <v>130</v>
      </c>
      <c r="E301" s="9">
        <v>131</v>
      </c>
      <c r="F301" s="9">
        <v>0</v>
      </c>
      <c r="G301" s="9">
        <v>0</v>
      </c>
      <c r="H301" s="9">
        <v>115</v>
      </c>
      <c r="I301" s="9">
        <v>1</v>
      </c>
      <c r="J301" s="9">
        <v>1.2</v>
      </c>
      <c r="K301" s="9">
        <v>2</v>
      </c>
      <c r="L301" s="9">
        <v>1</v>
      </c>
      <c r="M301" s="9">
        <v>7</v>
      </c>
      <c r="N301" s="9">
        <v>1</v>
      </c>
      <c r="O301" s="13">
        <f t="shared" si="25"/>
        <v>2.8796870631770126</v>
      </c>
      <c r="P301" s="13">
        <f t="shared" si="26"/>
        <v>0.94683311251181657</v>
      </c>
      <c r="Q301" s="13">
        <f t="shared" si="27"/>
        <v>1</v>
      </c>
      <c r="R301" s="13">
        <f t="shared" si="28"/>
        <v>0</v>
      </c>
      <c r="S301" s="13">
        <f t="shared" si="29"/>
        <v>0.94683311251181657</v>
      </c>
      <c r="T301" s="13">
        <f t="shared" si="30"/>
        <v>-5.4632428874197905E-2</v>
      </c>
    </row>
    <row r="302" spans="1:20" x14ac:dyDescent="0.3">
      <c r="A302" s="9">
        <v>57</v>
      </c>
      <c r="B302" s="9">
        <v>0</v>
      </c>
      <c r="C302" s="9">
        <v>2</v>
      </c>
      <c r="D302" s="9">
        <v>130</v>
      </c>
      <c r="E302" s="9">
        <v>236</v>
      </c>
      <c r="F302" s="9">
        <v>0</v>
      </c>
      <c r="G302" s="9">
        <v>2</v>
      </c>
      <c r="H302" s="9">
        <v>174</v>
      </c>
      <c r="I302" s="9">
        <v>0</v>
      </c>
      <c r="J302" s="9">
        <v>0</v>
      </c>
      <c r="K302" s="9">
        <v>2</v>
      </c>
      <c r="L302" s="9">
        <v>1</v>
      </c>
      <c r="M302" s="9">
        <v>3</v>
      </c>
      <c r="N302" s="9">
        <v>1</v>
      </c>
      <c r="O302" s="13">
        <f t="shared" si="25"/>
        <v>-2.3888082892454205</v>
      </c>
      <c r="P302" s="13">
        <f>1/(1+EXP(0-O302))</f>
        <v>8.403011128644855E-2</v>
      </c>
      <c r="Q302" s="13">
        <f t="shared" si="27"/>
        <v>0</v>
      </c>
      <c r="R302" s="13">
        <f t="shared" si="28"/>
        <v>1</v>
      </c>
      <c r="S302" s="13">
        <f t="shared" si="29"/>
        <v>8.403011128644855E-2</v>
      </c>
      <c r="T302" s="13">
        <f t="shared" si="30"/>
        <v>-2.4765800766772017</v>
      </c>
    </row>
    <row r="304" spans="1:20" x14ac:dyDescent="0.3">
      <c r="A304" s="4" t="s">
        <v>36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Q304" s="8" t="s">
        <v>37</v>
      </c>
    </row>
    <row r="305" spans="1:17" x14ac:dyDescent="0.3">
      <c r="A305" s="13">
        <v>36</v>
      </c>
      <c r="B305" s="13">
        <v>0</v>
      </c>
      <c r="C305" s="13">
        <v>4</v>
      </c>
      <c r="D305" s="13">
        <v>118</v>
      </c>
      <c r="E305" s="13">
        <v>150</v>
      </c>
      <c r="F305" s="13">
        <v>1</v>
      </c>
      <c r="G305" s="13">
        <v>0</v>
      </c>
      <c r="H305" s="13">
        <v>112</v>
      </c>
      <c r="I305" s="13">
        <v>0</v>
      </c>
      <c r="J305" s="13">
        <v>0.5</v>
      </c>
      <c r="K305" s="13">
        <v>2</v>
      </c>
      <c r="L305" s="13">
        <v>0</v>
      </c>
      <c r="M305" s="13">
        <v>3</v>
      </c>
      <c r="N305" s="13"/>
      <c r="O305">
        <f>SUMPRODUCT(A$4:M$4, A305:M305)+N$4</f>
        <v>-3.0290859941951975</v>
      </c>
      <c r="P305">
        <f>1/(1+EXP(0-O305))</f>
        <v>4.6129027655429387E-2</v>
      </c>
      <c r="Q305">
        <f>IF(P305&lt;0.5, 0, 1)</f>
        <v>0</v>
      </c>
    </row>
    <row r="306" spans="1:17" x14ac:dyDescent="0.3">
      <c r="A306" s="13">
        <v>67</v>
      </c>
      <c r="B306" s="13">
        <v>1</v>
      </c>
      <c r="C306" s="13">
        <v>3</v>
      </c>
      <c r="D306" s="13">
        <v>144</v>
      </c>
      <c r="E306" s="13">
        <v>232</v>
      </c>
      <c r="F306" s="13">
        <v>0</v>
      </c>
      <c r="G306" s="13">
        <v>2</v>
      </c>
      <c r="H306" s="13">
        <v>174</v>
      </c>
      <c r="I306" s="13">
        <v>1</v>
      </c>
      <c r="J306" s="13">
        <v>0</v>
      </c>
      <c r="K306" s="13">
        <v>1</v>
      </c>
      <c r="L306" s="13">
        <v>0</v>
      </c>
      <c r="M306" s="13">
        <v>3</v>
      </c>
      <c r="N306" s="13"/>
      <c r="O306" s="13">
        <f t="shared" ref="O306:O307" si="31">SUMPRODUCT(A$4:M$4, A306:M306)+N$4</f>
        <v>-1.2387192043906321</v>
      </c>
      <c r="P306" s="13">
        <f t="shared" ref="P306:P307" si="32">1/(1+EXP(0-O306))</f>
        <v>0.22465900542737105</v>
      </c>
      <c r="Q306" s="13">
        <f t="shared" ref="Q306:Q307" si="33">IF(P306&lt;0.5, 0, 1)</f>
        <v>0</v>
      </c>
    </row>
    <row r="307" spans="1:17" x14ac:dyDescent="0.3">
      <c r="A307" s="13">
        <v>69</v>
      </c>
      <c r="B307" s="13">
        <v>2</v>
      </c>
      <c r="C307" s="13">
        <v>4</v>
      </c>
      <c r="D307" s="13">
        <v>134</v>
      </c>
      <c r="E307" s="13">
        <v>188</v>
      </c>
      <c r="F307" s="13">
        <v>1</v>
      </c>
      <c r="G307" s="13">
        <v>0</v>
      </c>
      <c r="H307" s="13">
        <v>141</v>
      </c>
      <c r="I307" s="13">
        <v>0</v>
      </c>
      <c r="J307" s="13">
        <v>3.4</v>
      </c>
      <c r="K307" s="13">
        <v>1</v>
      </c>
      <c r="L307" s="13">
        <v>2</v>
      </c>
      <c r="M307" s="13">
        <v>5</v>
      </c>
      <c r="N307" s="13"/>
      <c r="O307" s="13">
        <f t="shared" si="31"/>
        <v>2.469885888025809</v>
      </c>
      <c r="P307" s="13">
        <f t="shared" si="32"/>
        <v>0.92200355913184251</v>
      </c>
      <c r="Q307" s="13">
        <f t="shared" si="33"/>
        <v>1</v>
      </c>
    </row>
  </sheetData>
  <mergeCells count="1">
    <mergeCell ref="A304:N3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D79A-6033-43F5-8664-4AACA6C1A174}">
  <dimension ref="A1:T306"/>
  <sheetViews>
    <sheetView tabSelected="1" workbookViewId="0">
      <selection activeCell="T4" sqref="T4"/>
    </sheetView>
  </sheetViews>
  <sheetFormatPr defaultRowHeight="14.4" x14ac:dyDescent="0.3"/>
  <cols>
    <col min="14" max="14" width="13.88671875" customWidth="1"/>
    <col min="17" max="17" width="23.6640625" customWidth="1"/>
    <col min="19" max="19" width="11.44140625" customWidth="1"/>
  </cols>
  <sheetData>
    <row r="1" spans="1:20" x14ac:dyDescent="0.3">
      <c r="A1" s="15">
        <v>13</v>
      </c>
      <c r="B1" s="15">
        <v>12</v>
      </c>
      <c r="C1" s="15">
        <v>11</v>
      </c>
      <c r="D1" s="15">
        <v>10</v>
      </c>
      <c r="E1" s="15">
        <v>9</v>
      </c>
      <c r="F1" s="15">
        <v>8</v>
      </c>
      <c r="G1" s="15">
        <v>7</v>
      </c>
      <c r="H1" s="15">
        <v>6</v>
      </c>
      <c r="I1" s="15">
        <v>5</v>
      </c>
      <c r="J1" s="15">
        <v>4</v>
      </c>
      <c r="K1" s="15">
        <v>3</v>
      </c>
      <c r="L1" s="15">
        <v>2</v>
      </c>
      <c r="M1" s="15">
        <v>1</v>
      </c>
      <c r="N1" s="15">
        <v>14</v>
      </c>
      <c r="O1" s="15"/>
      <c r="P1" s="15"/>
      <c r="S1" s="17" t="s">
        <v>35</v>
      </c>
      <c r="T1" s="17">
        <f>SUM(T6:T219)</f>
        <v>-70.417229125291584</v>
      </c>
    </row>
    <row r="2" spans="1:20" x14ac:dyDescent="0.3">
      <c r="A2" s="15" t="s">
        <v>38</v>
      </c>
      <c r="B2" s="15" t="s">
        <v>39</v>
      </c>
      <c r="C2" s="15" t="s">
        <v>40</v>
      </c>
      <c r="D2" s="15" t="s">
        <v>41</v>
      </c>
      <c r="E2" s="15" t="s">
        <v>42</v>
      </c>
      <c r="F2" s="15" t="s">
        <v>43</v>
      </c>
      <c r="G2" s="15" t="s">
        <v>44</v>
      </c>
      <c r="H2" s="15" t="s">
        <v>45</v>
      </c>
      <c r="I2" s="15" t="s">
        <v>46</v>
      </c>
      <c r="J2" s="15" t="s">
        <v>47</v>
      </c>
      <c r="K2" s="15" t="s">
        <v>48</v>
      </c>
      <c r="L2" s="15" t="s">
        <v>49</v>
      </c>
      <c r="M2" s="15" t="s">
        <v>50</v>
      </c>
      <c r="N2" s="15" t="s">
        <v>33</v>
      </c>
      <c r="O2" s="15"/>
      <c r="P2" s="15"/>
    </row>
    <row r="3" spans="1:20" x14ac:dyDescent="0.3">
      <c r="A3" s="15">
        <v>-1.0537637945556705E-3</v>
      </c>
      <c r="B3" s="15">
        <v>0.11219144928248172</v>
      </c>
      <c r="C3" s="15">
        <v>0.10326991889521805</v>
      </c>
      <c r="D3" s="15">
        <v>2.3955723505184488E-3</v>
      </c>
      <c r="E3" s="15">
        <v>1.117783606677391E-4</v>
      </c>
      <c r="F3" s="15">
        <v>-6.789020847422915E-2</v>
      </c>
      <c r="G3" s="15">
        <v>2.1567322275336007E-2</v>
      </c>
      <c r="H3" s="15">
        <v>-2.6475944947249022E-3</v>
      </c>
      <c r="I3" s="15">
        <v>0.12454064278091105</v>
      </c>
      <c r="J3" s="15">
        <v>3.1788647213536296E-2</v>
      </c>
      <c r="K3" s="15">
        <v>8.6936423828833237E-2</v>
      </c>
      <c r="L3" s="15">
        <v>0.15681921554991854</v>
      </c>
      <c r="M3" s="15">
        <v>5.25396442585086E-2</v>
      </c>
      <c r="N3" s="15">
        <v>-0.41230695948282103</v>
      </c>
      <c r="O3" s="15"/>
      <c r="P3" s="15"/>
      <c r="Q3" s="17" t="s">
        <v>54</v>
      </c>
      <c r="R3">
        <f>SUM(R224:R306)</f>
        <v>16</v>
      </c>
    </row>
    <row r="4" spans="1:20" x14ac:dyDescent="0.3">
      <c r="A4" s="15">
        <v>-1.1172244843488648E-2</v>
      </c>
      <c r="B4" s="15">
        <v>0.9108885693091926</v>
      </c>
      <c r="C4" s="15">
        <v>0.83360315873033497</v>
      </c>
      <c r="D4" s="15">
        <v>3.0926338083559692E-2</v>
      </c>
      <c r="E4" s="15">
        <v>2.4596129100997199E-3</v>
      </c>
      <c r="F4" s="15">
        <v>-0.49930778851939217</v>
      </c>
      <c r="G4" s="15">
        <v>0.2391483093156003</v>
      </c>
      <c r="H4" s="15">
        <v>-2.1034657995315783E-2</v>
      </c>
      <c r="I4" s="15">
        <v>0.73148345151692573</v>
      </c>
      <c r="J4" s="15">
        <v>0.22737281503003817</v>
      </c>
      <c r="K4" s="15">
        <v>0.8574712153168661</v>
      </c>
      <c r="L4" s="15">
        <v>1.4052657992505777</v>
      </c>
      <c r="M4" s="15">
        <v>0.30308518473402252</v>
      </c>
      <c r="N4" s="15">
        <v>-8.7246666220726343</v>
      </c>
      <c r="O4" s="15"/>
      <c r="P4" s="15"/>
      <c r="Q4" s="17" t="s">
        <v>55</v>
      </c>
      <c r="R4">
        <f>1-R3/(306-224+1)</f>
        <v>0.80722891566265065</v>
      </c>
    </row>
    <row r="5" spans="1:20" x14ac:dyDescent="0.3">
      <c r="A5" s="15" t="s">
        <v>13</v>
      </c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5" t="s">
        <v>22</v>
      </c>
      <c r="K5" s="15" t="s">
        <v>23</v>
      </c>
      <c r="L5" s="15" t="s">
        <v>24</v>
      </c>
      <c r="M5" s="15" t="s">
        <v>25</v>
      </c>
      <c r="N5" s="16" t="s">
        <v>26</v>
      </c>
      <c r="O5" s="15" t="s">
        <v>27</v>
      </c>
      <c r="P5" s="15" t="s">
        <v>28</v>
      </c>
      <c r="Q5" s="17" t="s">
        <v>53</v>
      </c>
      <c r="R5" s="17" t="s">
        <v>30</v>
      </c>
      <c r="S5" s="17" t="s">
        <v>31</v>
      </c>
      <c r="T5" s="17" t="s">
        <v>32</v>
      </c>
    </row>
    <row r="6" spans="1:20" x14ac:dyDescent="0.3">
      <c r="A6" s="15">
        <v>67</v>
      </c>
      <c r="B6" s="15">
        <v>1</v>
      </c>
      <c r="C6" s="15">
        <v>4</v>
      </c>
      <c r="D6" s="15">
        <v>160</v>
      </c>
      <c r="E6" s="15">
        <v>286</v>
      </c>
      <c r="F6" s="15">
        <v>0</v>
      </c>
      <c r="G6" s="15">
        <v>2</v>
      </c>
      <c r="H6" s="15">
        <v>108</v>
      </c>
      <c r="I6" s="15">
        <v>1</v>
      </c>
      <c r="J6" s="15">
        <v>1.5</v>
      </c>
      <c r="K6" s="15">
        <v>2</v>
      </c>
      <c r="L6" s="15">
        <v>3</v>
      </c>
      <c r="M6" s="15">
        <v>3</v>
      </c>
      <c r="N6" s="15">
        <v>1</v>
      </c>
      <c r="O6" s="15">
        <f>SUMPRODUCT(A$4:M$4, A6:M6)+N$4</f>
        <v>6.5428491750888398</v>
      </c>
      <c r="P6" s="15">
        <f>1/(1+EXP(0-O6))</f>
        <v>0.99856169295107555</v>
      </c>
      <c r="Q6">
        <f>IF(P6&lt;=0.5, 0, 1)</f>
        <v>1</v>
      </c>
      <c r="R6">
        <f>IF(N6=Q6, 0, 1)</f>
        <v>0</v>
      </c>
      <c r="S6">
        <f>IF(N6=1, P6, 1-P6)</f>
        <v>0.99856169295107555</v>
      </c>
      <c r="T6">
        <f>IF(S6=0, -100000, LN(S6))</f>
        <v>-1.4393424054007032E-3</v>
      </c>
    </row>
    <row r="7" spans="1:20" x14ac:dyDescent="0.3">
      <c r="A7" s="15">
        <v>57</v>
      </c>
      <c r="B7" s="15">
        <v>0</v>
      </c>
      <c r="C7" s="15">
        <v>4</v>
      </c>
      <c r="D7" s="15">
        <v>120</v>
      </c>
      <c r="E7" s="15">
        <v>354</v>
      </c>
      <c r="F7" s="15">
        <v>0</v>
      </c>
      <c r="G7" s="15">
        <v>0</v>
      </c>
      <c r="H7" s="15">
        <v>163</v>
      </c>
      <c r="I7" s="15">
        <v>1</v>
      </c>
      <c r="J7" s="15">
        <v>0.6</v>
      </c>
      <c r="K7" s="15">
        <v>1</v>
      </c>
      <c r="L7" s="15">
        <v>0</v>
      </c>
      <c r="M7" s="15">
        <v>3</v>
      </c>
      <c r="N7" s="15">
        <v>0</v>
      </c>
      <c r="O7" s="17">
        <f t="shared" ref="O7:O70" si="0">SUMPRODUCT(A$4:M$4, A7:M7)+N$4</f>
        <v>-2.2392237462102749</v>
      </c>
      <c r="P7" s="17">
        <f t="shared" ref="P7:P70" si="1">1/(1+EXP(0-O7))</f>
        <v>9.6283064434972504E-2</v>
      </c>
      <c r="Q7" s="17">
        <f t="shared" ref="Q7:Q70" si="2">IF(P7&lt;=0.5, 0, 1)</f>
        <v>0</v>
      </c>
      <c r="R7" s="17">
        <f t="shared" ref="R7:R23" si="3">IF(N7=Q7, 0, 1)</f>
        <v>0</v>
      </c>
      <c r="S7" s="17">
        <f t="shared" ref="S7:S23" si="4">IF(N7=1, P7, 1-P7)</f>
        <v>0.90371693556502752</v>
      </c>
      <c r="T7" s="17">
        <f t="shared" ref="T7:T70" si="5">IF(S7=0, -100000, LN(S7))</f>
        <v>-0.10123909199860323</v>
      </c>
    </row>
    <row r="8" spans="1:20" x14ac:dyDescent="0.3">
      <c r="A8" s="15">
        <v>56</v>
      </c>
      <c r="B8" s="15">
        <v>0</v>
      </c>
      <c r="C8" s="15">
        <v>2</v>
      </c>
      <c r="D8" s="15">
        <v>140</v>
      </c>
      <c r="E8" s="15">
        <v>294</v>
      </c>
      <c r="F8" s="15">
        <v>0</v>
      </c>
      <c r="G8" s="15">
        <v>2</v>
      </c>
      <c r="H8" s="15">
        <v>153</v>
      </c>
      <c r="I8" s="15">
        <v>0</v>
      </c>
      <c r="J8" s="15">
        <v>1.3</v>
      </c>
      <c r="K8" s="15">
        <v>2</v>
      </c>
      <c r="L8" s="15">
        <v>0</v>
      </c>
      <c r="M8" s="15">
        <v>3</v>
      </c>
      <c r="N8" s="15">
        <v>0</v>
      </c>
      <c r="O8" s="17">
        <f t="shared" si="0"/>
        <v>-2.4505158988569189</v>
      </c>
      <c r="P8" s="17">
        <f t="shared" si="1"/>
        <v>7.940083068278822E-2</v>
      </c>
      <c r="Q8" s="17">
        <f t="shared" si="2"/>
        <v>0</v>
      </c>
      <c r="R8" s="17">
        <f t="shared" si="3"/>
        <v>0</v>
      </c>
      <c r="S8" s="17">
        <f t="shared" si="4"/>
        <v>0.92059916931721175</v>
      </c>
      <c r="T8" s="17">
        <f t="shared" si="5"/>
        <v>-8.2730549927002753E-2</v>
      </c>
    </row>
    <row r="9" spans="1:20" x14ac:dyDescent="0.3">
      <c r="A9" s="15">
        <v>49</v>
      </c>
      <c r="B9" s="15">
        <v>1</v>
      </c>
      <c r="C9" s="15">
        <v>2</v>
      </c>
      <c r="D9" s="15">
        <v>130</v>
      </c>
      <c r="E9" s="15">
        <v>266</v>
      </c>
      <c r="F9" s="15">
        <v>0</v>
      </c>
      <c r="G9" s="15">
        <v>0</v>
      </c>
      <c r="H9" s="15">
        <v>171</v>
      </c>
      <c r="I9" s="15">
        <v>0</v>
      </c>
      <c r="J9" s="15">
        <v>0.6</v>
      </c>
      <c r="K9" s="15">
        <v>1</v>
      </c>
      <c r="L9" s="15">
        <v>0</v>
      </c>
      <c r="M9" s="15">
        <v>3</v>
      </c>
      <c r="N9" s="15">
        <v>0</v>
      </c>
      <c r="O9" s="17">
        <f t="shared" si="0"/>
        <v>-3.7131068063464729</v>
      </c>
      <c r="P9" s="17">
        <f t="shared" si="1"/>
        <v>2.3820340080231241E-2</v>
      </c>
      <c r="Q9" s="17">
        <f t="shared" si="2"/>
        <v>0</v>
      </c>
      <c r="R9" s="17">
        <f t="shared" si="3"/>
        <v>0</v>
      </c>
      <c r="S9" s="17">
        <f t="shared" si="4"/>
        <v>0.97617965991976874</v>
      </c>
      <c r="T9" s="17">
        <f t="shared" si="5"/>
        <v>-2.4108631722633188E-2</v>
      </c>
    </row>
    <row r="10" spans="1:20" x14ac:dyDescent="0.3">
      <c r="A10" s="15">
        <v>64</v>
      </c>
      <c r="B10" s="15">
        <v>1</v>
      </c>
      <c r="C10" s="15">
        <v>1</v>
      </c>
      <c r="D10" s="15">
        <v>110</v>
      </c>
      <c r="E10" s="15">
        <v>211</v>
      </c>
      <c r="F10" s="15">
        <v>0</v>
      </c>
      <c r="G10" s="15">
        <v>2</v>
      </c>
      <c r="H10" s="15">
        <v>144</v>
      </c>
      <c r="I10" s="15">
        <v>1</v>
      </c>
      <c r="J10" s="15">
        <v>1.8</v>
      </c>
      <c r="K10" s="15">
        <v>2</v>
      </c>
      <c r="L10" s="15">
        <v>0</v>
      </c>
      <c r="M10" s="15">
        <v>3</v>
      </c>
      <c r="N10" s="15">
        <v>0</v>
      </c>
      <c r="O10" s="17">
        <f t="shared" si="0"/>
        <v>-2.5600646800812514</v>
      </c>
      <c r="P10" s="17">
        <f t="shared" si="1"/>
        <v>7.1753234146526984E-2</v>
      </c>
      <c r="Q10" s="17">
        <f t="shared" si="2"/>
        <v>0</v>
      </c>
      <c r="R10" s="17">
        <f t="shared" si="3"/>
        <v>0</v>
      </c>
      <c r="S10" s="17">
        <f t="shared" si="4"/>
        <v>0.92824676585347299</v>
      </c>
      <c r="T10" s="17">
        <f t="shared" si="5"/>
        <v>-7.4457670064092346E-2</v>
      </c>
    </row>
    <row r="11" spans="1:20" x14ac:dyDescent="0.3">
      <c r="A11" s="15">
        <v>42</v>
      </c>
      <c r="B11" s="15">
        <v>1</v>
      </c>
      <c r="C11" s="15">
        <v>4</v>
      </c>
      <c r="D11" s="15">
        <v>140</v>
      </c>
      <c r="E11" s="15">
        <v>226</v>
      </c>
      <c r="F11" s="15">
        <v>0</v>
      </c>
      <c r="G11" s="15">
        <v>0</v>
      </c>
      <c r="H11" s="15">
        <v>178</v>
      </c>
      <c r="I11" s="15">
        <v>0</v>
      </c>
      <c r="J11" s="15">
        <v>0</v>
      </c>
      <c r="K11" s="15">
        <v>1</v>
      </c>
      <c r="L11" s="15">
        <v>0</v>
      </c>
      <c r="M11" s="15">
        <v>3</v>
      </c>
      <c r="N11" s="15">
        <v>0</v>
      </c>
      <c r="O11" s="17">
        <f t="shared" si="0"/>
        <v>-2.0404822055350094</v>
      </c>
      <c r="P11" s="17">
        <f t="shared" si="1"/>
        <v>0.11501763991516192</v>
      </c>
      <c r="Q11" s="17">
        <f t="shared" si="2"/>
        <v>0</v>
      </c>
      <c r="R11" s="17">
        <f t="shared" si="3"/>
        <v>0</v>
      </c>
      <c r="S11" s="17">
        <f t="shared" si="4"/>
        <v>0.8849823600848381</v>
      </c>
      <c r="T11" s="17">
        <f t="shared" si="5"/>
        <v>-0.1221875662803822</v>
      </c>
    </row>
    <row r="12" spans="1:20" x14ac:dyDescent="0.3">
      <c r="A12" s="15">
        <v>55</v>
      </c>
      <c r="B12" s="15">
        <v>1</v>
      </c>
      <c r="C12" s="15">
        <v>4</v>
      </c>
      <c r="D12" s="15">
        <v>132</v>
      </c>
      <c r="E12" s="15">
        <v>353</v>
      </c>
      <c r="F12" s="15">
        <v>0</v>
      </c>
      <c r="G12" s="15">
        <v>0</v>
      </c>
      <c r="H12" s="15">
        <v>132</v>
      </c>
      <c r="I12" s="15">
        <v>1</v>
      </c>
      <c r="J12" s="15">
        <v>1.2</v>
      </c>
      <c r="K12" s="15">
        <v>2</v>
      </c>
      <c r="L12" s="15">
        <v>1</v>
      </c>
      <c r="M12" s="15">
        <v>7</v>
      </c>
      <c r="N12" s="15">
        <v>1</v>
      </c>
      <c r="O12" s="17">
        <f t="shared" si="0"/>
        <v>3.3262415972548585</v>
      </c>
      <c r="P12" s="17">
        <f t="shared" si="1"/>
        <v>0.9653181619349045</v>
      </c>
      <c r="Q12" s="17">
        <f t="shared" si="2"/>
        <v>1</v>
      </c>
      <c r="R12" s="17">
        <f t="shared" si="3"/>
        <v>0</v>
      </c>
      <c r="S12" s="17">
        <f t="shared" si="4"/>
        <v>0.9653181619349045</v>
      </c>
      <c r="T12" s="17">
        <f t="shared" si="5"/>
        <v>-3.5297530495795142E-2</v>
      </c>
    </row>
    <row r="13" spans="1:20" x14ac:dyDescent="0.3">
      <c r="A13" s="15">
        <v>61</v>
      </c>
      <c r="B13" s="15">
        <v>1</v>
      </c>
      <c r="C13" s="15">
        <v>3</v>
      </c>
      <c r="D13" s="15">
        <v>150</v>
      </c>
      <c r="E13" s="15">
        <v>243</v>
      </c>
      <c r="F13" s="15">
        <v>1</v>
      </c>
      <c r="G13" s="15">
        <v>0</v>
      </c>
      <c r="H13" s="15">
        <v>137</v>
      </c>
      <c r="I13" s="15">
        <v>1</v>
      </c>
      <c r="J13" s="15">
        <v>1</v>
      </c>
      <c r="K13" s="15">
        <v>2</v>
      </c>
      <c r="L13" s="15">
        <v>0</v>
      </c>
      <c r="M13" s="15">
        <v>3</v>
      </c>
      <c r="N13" s="15">
        <v>0</v>
      </c>
      <c r="O13" s="17">
        <f t="shared" si="0"/>
        <v>-0.55584054483194834</v>
      </c>
      <c r="P13" s="17">
        <f t="shared" si="1"/>
        <v>0.36451042254326016</v>
      </c>
      <c r="Q13" s="17">
        <f t="shared" si="2"/>
        <v>0</v>
      </c>
      <c r="R13" s="17">
        <f t="shared" si="3"/>
        <v>0</v>
      </c>
      <c r="S13" s="17">
        <f t="shared" si="4"/>
        <v>0.63548957745673984</v>
      </c>
      <c r="T13" s="17">
        <f t="shared" si="5"/>
        <v>-0.45335958902726053</v>
      </c>
    </row>
    <row r="14" spans="1:20" x14ac:dyDescent="0.3">
      <c r="A14" s="15">
        <v>71</v>
      </c>
      <c r="B14" s="15">
        <v>0</v>
      </c>
      <c r="C14" s="15">
        <v>2</v>
      </c>
      <c r="D14" s="15">
        <v>160</v>
      </c>
      <c r="E14" s="15">
        <v>302</v>
      </c>
      <c r="F14" s="15">
        <v>0</v>
      </c>
      <c r="G14" s="15">
        <v>0</v>
      </c>
      <c r="H14" s="15">
        <v>162</v>
      </c>
      <c r="I14" s="15">
        <v>0</v>
      </c>
      <c r="J14" s="15">
        <v>0.4</v>
      </c>
      <c r="K14" s="15">
        <v>1</v>
      </c>
      <c r="L14" s="15">
        <v>2</v>
      </c>
      <c r="M14" s="15">
        <v>3</v>
      </c>
      <c r="N14" s="15">
        <v>0</v>
      </c>
      <c r="O14" s="17">
        <f t="shared" si="0"/>
        <v>-0.89907959748904531</v>
      </c>
      <c r="P14" s="17">
        <f t="shared" si="1"/>
        <v>0.28923967709136156</v>
      </c>
      <c r="Q14" s="17">
        <f t="shared" si="2"/>
        <v>0</v>
      </c>
      <c r="R14" s="17">
        <f t="shared" si="3"/>
        <v>0</v>
      </c>
      <c r="S14" s="17">
        <f t="shared" si="4"/>
        <v>0.71076032290863844</v>
      </c>
      <c r="T14" s="17">
        <f t="shared" si="5"/>
        <v>-0.34142000459077548</v>
      </c>
    </row>
    <row r="15" spans="1:20" x14ac:dyDescent="0.3">
      <c r="A15" s="15">
        <v>61</v>
      </c>
      <c r="B15" s="15">
        <v>0</v>
      </c>
      <c r="C15" s="15">
        <v>4</v>
      </c>
      <c r="D15" s="15">
        <v>130</v>
      </c>
      <c r="E15" s="15">
        <v>330</v>
      </c>
      <c r="F15" s="15">
        <v>0</v>
      </c>
      <c r="G15" s="15">
        <v>2</v>
      </c>
      <c r="H15" s="15">
        <v>169</v>
      </c>
      <c r="I15" s="15">
        <v>0</v>
      </c>
      <c r="J15" s="15">
        <v>0</v>
      </c>
      <c r="K15" s="15">
        <v>1</v>
      </c>
      <c r="L15" s="15">
        <v>0</v>
      </c>
      <c r="M15" s="15">
        <v>3</v>
      </c>
      <c r="N15" s="15">
        <v>1</v>
      </c>
      <c r="O15" s="17">
        <f t="shared" si="0"/>
        <v>-2.5494985244666672</v>
      </c>
      <c r="P15" s="17">
        <f t="shared" si="1"/>
        <v>7.2460182158431516E-2</v>
      </c>
      <c r="Q15" s="17">
        <f t="shared" si="2"/>
        <v>0</v>
      </c>
      <c r="R15" s="17">
        <f t="shared" si="3"/>
        <v>1</v>
      </c>
      <c r="S15" s="17">
        <f t="shared" si="4"/>
        <v>7.2460182158431516E-2</v>
      </c>
      <c r="T15" s="17">
        <f t="shared" si="5"/>
        <v>-2.624718079601287</v>
      </c>
    </row>
    <row r="16" spans="1:20" x14ac:dyDescent="0.3">
      <c r="A16" s="15">
        <v>50</v>
      </c>
      <c r="B16" s="15">
        <v>1</v>
      </c>
      <c r="C16" s="15">
        <v>4</v>
      </c>
      <c r="D16" s="15">
        <v>150</v>
      </c>
      <c r="E16" s="15">
        <v>243</v>
      </c>
      <c r="F16" s="15">
        <v>0</v>
      </c>
      <c r="G16" s="15">
        <v>2</v>
      </c>
      <c r="H16" s="15">
        <v>128</v>
      </c>
      <c r="I16" s="15">
        <v>0</v>
      </c>
      <c r="J16" s="15">
        <v>2.6</v>
      </c>
      <c r="K16" s="15">
        <v>2</v>
      </c>
      <c r="L16" s="15">
        <v>0</v>
      </c>
      <c r="M16" s="15">
        <v>7</v>
      </c>
      <c r="N16" s="15">
        <v>1</v>
      </c>
      <c r="O16" s="17">
        <f t="shared" si="0"/>
        <v>2.4122274277524198</v>
      </c>
      <c r="P16" s="17">
        <f t="shared" si="1"/>
        <v>0.91775496639653731</v>
      </c>
      <c r="Q16" s="17">
        <f t="shared" si="2"/>
        <v>1</v>
      </c>
      <c r="R16" s="17">
        <f t="shared" si="3"/>
        <v>0</v>
      </c>
      <c r="S16" s="17">
        <f t="shared" si="4"/>
        <v>0.91775496639653731</v>
      </c>
      <c r="T16" s="17">
        <f t="shared" si="5"/>
        <v>-8.5824845128103164E-2</v>
      </c>
    </row>
    <row r="17" spans="1:20" x14ac:dyDescent="0.3">
      <c r="A17" s="15">
        <v>44</v>
      </c>
      <c r="B17" s="15">
        <v>1</v>
      </c>
      <c r="C17" s="15">
        <v>2</v>
      </c>
      <c r="D17" s="15">
        <v>130</v>
      </c>
      <c r="E17" s="15">
        <v>219</v>
      </c>
      <c r="F17" s="15">
        <v>0</v>
      </c>
      <c r="G17" s="15">
        <v>2</v>
      </c>
      <c r="H17" s="15">
        <v>188</v>
      </c>
      <c r="I17" s="15">
        <v>0</v>
      </c>
      <c r="J17" s="15">
        <v>0</v>
      </c>
      <c r="K17" s="15">
        <v>1</v>
      </c>
      <c r="L17" s="15">
        <v>0</v>
      </c>
      <c r="M17" s="15">
        <v>3</v>
      </c>
      <c r="N17" s="15">
        <v>0</v>
      </c>
      <c r="O17" s="17">
        <f t="shared" si="0"/>
        <v>-3.7885636452109059</v>
      </c>
      <c r="P17" s="17">
        <f t="shared" si="1"/>
        <v>2.2127380329160347E-2</v>
      </c>
      <c r="Q17" s="17">
        <f t="shared" si="2"/>
        <v>0</v>
      </c>
      <c r="R17" s="17">
        <f t="shared" si="3"/>
        <v>0</v>
      </c>
      <c r="S17" s="17">
        <f t="shared" si="4"/>
        <v>0.9778726196708396</v>
      </c>
      <c r="T17" s="17">
        <f t="shared" si="5"/>
        <v>-2.2375863165369898E-2</v>
      </c>
    </row>
    <row r="18" spans="1:20" x14ac:dyDescent="0.3">
      <c r="A18" s="15">
        <v>51</v>
      </c>
      <c r="B18" s="15">
        <v>0</v>
      </c>
      <c r="C18" s="15">
        <v>4</v>
      </c>
      <c r="D18" s="15">
        <v>130</v>
      </c>
      <c r="E18" s="15">
        <v>305</v>
      </c>
      <c r="F18" s="15">
        <v>0</v>
      </c>
      <c r="G18" s="15">
        <v>0</v>
      </c>
      <c r="H18" s="15">
        <v>142</v>
      </c>
      <c r="I18" s="15">
        <v>1</v>
      </c>
      <c r="J18" s="15">
        <v>1.2</v>
      </c>
      <c r="K18" s="15">
        <v>2</v>
      </c>
      <c r="L18" s="15">
        <v>0</v>
      </c>
      <c r="M18" s="15">
        <v>7</v>
      </c>
      <c r="N18" s="15">
        <v>1</v>
      </c>
      <c r="O18" s="17">
        <f t="shared" si="0"/>
        <v>0.66451553226398019</v>
      </c>
      <c r="P18" s="17">
        <f t="shared" si="1"/>
        <v>0.66027400947481962</v>
      </c>
      <c r="Q18" s="17">
        <f t="shared" si="2"/>
        <v>1</v>
      </c>
      <c r="R18" s="17">
        <f t="shared" si="3"/>
        <v>0</v>
      </c>
      <c r="S18" s="17">
        <f t="shared" si="4"/>
        <v>0.66027400947481962</v>
      </c>
      <c r="T18" s="17">
        <f t="shared" si="5"/>
        <v>-0.4151003642482316</v>
      </c>
    </row>
    <row r="19" spans="1:20" x14ac:dyDescent="0.3">
      <c r="A19" s="15">
        <v>58</v>
      </c>
      <c r="B19" s="15">
        <v>1</v>
      </c>
      <c r="C19" s="15">
        <v>4</v>
      </c>
      <c r="D19" s="15">
        <v>128</v>
      </c>
      <c r="E19" s="15">
        <v>216</v>
      </c>
      <c r="F19" s="15">
        <v>0</v>
      </c>
      <c r="G19" s="15">
        <v>2</v>
      </c>
      <c r="H19" s="15">
        <v>131</v>
      </c>
      <c r="I19" s="15">
        <v>1</v>
      </c>
      <c r="J19" s="15">
        <v>2.2000000000000002</v>
      </c>
      <c r="K19" s="15">
        <v>2</v>
      </c>
      <c r="L19" s="15">
        <v>3</v>
      </c>
      <c r="M19" s="15">
        <v>7</v>
      </c>
      <c r="N19" s="15">
        <v>1</v>
      </c>
      <c r="O19" s="17">
        <f t="shared" si="0"/>
        <v>6.3692882318642017</v>
      </c>
      <c r="P19" s="17">
        <f t="shared" si="1"/>
        <v>0.99828955232421424</v>
      </c>
      <c r="Q19" s="17">
        <f t="shared" si="2"/>
        <v>1</v>
      </c>
      <c r="R19" s="17">
        <f t="shared" si="3"/>
        <v>0</v>
      </c>
      <c r="S19" s="17">
        <f t="shared" si="4"/>
        <v>0.99828955232421424</v>
      </c>
      <c r="T19" s="17">
        <f t="shared" si="5"/>
        <v>-1.7119121616007182E-3</v>
      </c>
    </row>
    <row r="20" spans="1:20" x14ac:dyDescent="0.3">
      <c r="A20" s="15">
        <v>54</v>
      </c>
      <c r="B20" s="15">
        <v>1</v>
      </c>
      <c r="C20" s="15">
        <v>4</v>
      </c>
      <c r="D20" s="15">
        <v>120</v>
      </c>
      <c r="E20" s="15">
        <v>188</v>
      </c>
      <c r="F20" s="15">
        <v>0</v>
      </c>
      <c r="G20" s="15">
        <v>0</v>
      </c>
      <c r="H20" s="15">
        <v>113</v>
      </c>
      <c r="I20" s="15">
        <v>0</v>
      </c>
      <c r="J20" s="15">
        <v>1.4</v>
      </c>
      <c r="K20" s="15">
        <v>2</v>
      </c>
      <c r="L20" s="15">
        <v>1</v>
      </c>
      <c r="M20" s="15">
        <v>7</v>
      </c>
      <c r="N20" s="15">
        <v>1</v>
      </c>
      <c r="O20" s="17">
        <f t="shared" si="0"/>
        <v>2.2741112683292588</v>
      </c>
      <c r="P20" s="17">
        <f t="shared" si="1"/>
        <v>0.90671012905466253</v>
      </c>
      <c r="Q20" s="17">
        <f t="shared" si="2"/>
        <v>1</v>
      </c>
      <c r="R20" s="17">
        <f t="shared" si="3"/>
        <v>0</v>
      </c>
      <c r="S20" s="17">
        <f t="shared" si="4"/>
        <v>0.90671012905466253</v>
      </c>
      <c r="T20" s="17">
        <f t="shared" si="5"/>
        <v>-9.7932473051770622E-2</v>
      </c>
    </row>
    <row r="21" spans="1:20" x14ac:dyDescent="0.3">
      <c r="A21" s="15">
        <v>59</v>
      </c>
      <c r="B21" s="15">
        <v>1</v>
      </c>
      <c r="C21" s="15">
        <v>4</v>
      </c>
      <c r="D21" s="15">
        <v>170</v>
      </c>
      <c r="E21" s="15">
        <v>326</v>
      </c>
      <c r="F21" s="15">
        <v>0</v>
      </c>
      <c r="G21" s="15">
        <v>2</v>
      </c>
      <c r="H21" s="15">
        <v>140</v>
      </c>
      <c r="I21" s="15">
        <v>1</v>
      </c>
      <c r="J21" s="15">
        <v>3.4</v>
      </c>
      <c r="K21" s="15">
        <v>3</v>
      </c>
      <c r="L21" s="15">
        <v>0</v>
      </c>
      <c r="M21" s="15">
        <v>7</v>
      </c>
      <c r="N21" s="15">
        <v>1</v>
      </c>
      <c r="O21" s="17">
        <f t="shared" si="0"/>
        <v>4.6527888802845272</v>
      </c>
      <c r="P21" s="17">
        <f t="shared" si="1"/>
        <v>0.99055508410005588</v>
      </c>
      <c r="Q21" s="17">
        <f t="shared" si="2"/>
        <v>1</v>
      </c>
      <c r="R21" s="17">
        <f t="shared" si="3"/>
        <v>0</v>
      </c>
      <c r="S21" s="17">
        <f t="shared" si="4"/>
        <v>0.99055508410005588</v>
      </c>
      <c r="T21" s="17">
        <f t="shared" si="5"/>
        <v>-9.4898019718174815E-3</v>
      </c>
    </row>
    <row r="22" spans="1:20" x14ac:dyDescent="0.3">
      <c r="A22" s="15">
        <v>65</v>
      </c>
      <c r="B22" s="15">
        <v>0</v>
      </c>
      <c r="C22" s="15">
        <v>3</v>
      </c>
      <c r="D22" s="15">
        <v>155</v>
      </c>
      <c r="E22" s="15">
        <v>269</v>
      </c>
      <c r="F22" s="15">
        <v>0</v>
      </c>
      <c r="G22" s="15">
        <v>0</v>
      </c>
      <c r="H22" s="15">
        <v>148</v>
      </c>
      <c r="I22" s="15">
        <v>0</v>
      </c>
      <c r="J22" s="15">
        <v>0.8</v>
      </c>
      <c r="K22" s="15">
        <v>1</v>
      </c>
      <c r="L22" s="15">
        <v>0</v>
      </c>
      <c r="M22" s="15">
        <v>3</v>
      </c>
      <c r="N22" s="15">
        <v>0</v>
      </c>
      <c r="O22" s="17">
        <f t="shared" si="0"/>
        <v>-2.6593391467035863</v>
      </c>
      <c r="P22" s="17">
        <f t="shared" si="1"/>
        <v>6.5415724086315366E-2</v>
      </c>
      <c r="Q22" s="17">
        <f t="shared" si="2"/>
        <v>0</v>
      </c>
      <c r="R22" s="17">
        <f t="shared" si="3"/>
        <v>0</v>
      </c>
      <c r="S22" s="17">
        <f t="shared" si="4"/>
        <v>0.93458427591368465</v>
      </c>
      <c r="T22" s="17">
        <f t="shared" si="5"/>
        <v>-6.7653473259563682E-2</v>
      </c>
    </row>
    <row r="23" spans="1:20" x14ac:dyDescent="0.3">
      <c r="A23" s="15">
        <v>65</v>
      </c>
      <c r="B23" s="15">
        <v>1</v>
      </c>
      <c r="C23" s="15">
        <v>4</v>
      </c>
      <c r="D23" s="15">
        <v>110</v>
      </c>
      <c r="E23" s="15">
        <v>248</v>
      </c>
      <c r="F23" s="15">
        <v>0</v>
      </c>
      <c r="G23" s="15">
        <v>2</v>
      </c>
      <c r="H23" s="15">
        <v>158</v>
      </c>
      <c r="I23" s="15">
        <v>0</v>
      </c>
      <c r="J23" s="15">
        <v>0.6</v>
      </c>
      <c r="K23" s="15">
        <v>1</v>
      </c>
      <c r="L23" s="15">
        <v>2</v>
      </c>
      <c r="M23" s="15">
        <v>6</v>
      </c>
      <c r="N23" s="15">
        <v>1</v>
      </c>
      <c r="O23" s="17">
        <f t="shared" si="0"/>
        <v>1.5840781248389177</v>
      </c>
      <c r="P23" s="17">
        <f t="shared" si="1"/>
        <v>0.82978130474426104</v>
      </c>
      <c r="Q23" s="17">
        <f t="shared" si="2"/>
        <v>1</v>
      </c>
      <c r="R23" s="17">
        <f t="shared" si="3"/>
        <v>0</v>
      </c>
      <c r="S23" s="17">
        <f t="shared" si="4"/>
        <v>0.82978130474426104</v>
      </c>
      <c r="T23" s="17">
        <f t="shared" si="5"/>
        <v>-0.18659310117055031</v>
      </c>
    </row>
    <row r="24" spans="1:20" x14ac:dyDescent="0.3">
      <c r="A24" s="15">
        <v>60</v>
      </c>
      <c r="B24" s="15">
        <v>1</v>
      </c>
      <c r="C24" s="15">
        <v>4</v>
      </c>
      <c r="D24" s="15">
        <v>125</v>
      </c>
      <c r="E24" s="15">
        <v>258</v>
      </c>
      <c r="F24" s="15">
        <v>0</v>
      </c>
      <c r="G24" s="15">
        <v>2</v>
      </c>
      <c r="H24" s="15">
        <v>141</v>
      </c>
      <c r="I24" s="15">
        <v>1</v>
      </c>
      <c r="J24" s="15">
        <v>2.8</v>
      </c>
      <c r="K24" s="15">
        <v>2</v>
      </c>
      <c r="L24" s="15">
        <v>1</v>
      </c>
      <c r="M24" s="15">
        <v>7</v>
      </c>
      <c r="N24" s="15">
        <v>1</v>
      </c>
      <c r="O24" s="17">
        <f t="shared" si="0"/>
        <v>3.4730139807144429</v>
      </c>
      <c r="P24" s="17">
        <f t="shared" si="1"/>
        <v>0.96991010470447259</v>
      </c>
      <c r="Q24" s="17">
        <f t="shared" si="2"/>
        <v>1</v>
      </c>
      <c r="R24" s="17">
        <f t="shared" ref="R24:R87" si="6">IF(N24=Q24, 0, 1)</f>
        <v>0</v>
      </c>
      <c r="S24" s="17">
        <f t="shared" ref="S24:S87" si="7">IF(N24=1, P24, 1-P24)</f>
        <v>0.96991010470447259</v>
      </c>
      <c r="T24" s="17">
        <f t="shared" si="5"/>
        <v>-3.0551887341753216E-2</v>
      </c>
    </row>
    <row r="25" spans="1:20" x14ac:dyDescent="0.3">
      <c r="A25" s="15">
        <v>44</v>
      </c>
      <c r="B25" s="15">
        <v>0</v>
      </c>
      <c r="C25" s="15">
        <v>3</v>
      </c>
      <c r="D25" s="15">
        <v>108</v>
      </c>
      <c r="E25" s="15">
        <v>141</v>
      </c>
      <c r="F25" s="15">
        <v>0</v>
      </c>
      <c r="G25" s="15">
        <v>0</v>
      </c>
      <c r="H25" s="15">
        <v>175</v>
      </c>
      <c r="I25" s="15">
        <v>0</v>
      </c>
      <c r="J25" s="15">
        <v>0.6</v>
      </c>
      <c r="K25" s="15">
        <v>2</v>
      </c>
      <c r="L25" s="15">
        <v>0</v>
      </c>
      <c r="M25" s="15">
        <v>3</v>
      </c>
      <c r="N25" s="15">
        <v>0</v>
      </c>
      <c r="O25" s="17">
        <f t="shared" si="0"/>
        <v>-3.9490294609730627</v>
      </c>
      <c r="P25" s="17">
        <f t="shared" si="1"/>
        <v>1.8908958399871501E-2</v>
      </c>
      <c r="Q25" s="17">
        <f t="shared" si="2"/>
        <v>0</v>
      </c>
      <c r="R25" s="17">
        <f t="shared" si="6"/>
        <v>0</v>
      </c>
      <c r="S25" s="17">
        <f t="shared" si="7"/>
        <v>0.9810910416001285</v>
      </c>
      <c r="T25" s="17">
        <f t="shared" si="5"/>
        <v>-1.9090018829784294E-2</v>
      </c>
    </row>
    <row r="26" spans="1:20" x14ac:dyDescent="0.3">
      <c r="A26" s="15">
        <v>52</v>
      </c>
      <c r="B26" s="15">
        <v>1</v>
      </c>
      <c r="C26" s="15">
        <v>4</v>
      </c>
      <c r="D26" s="15">
        <v>128</v>
      </c>
      <c r="E26" s="15">
        <v>255</v>
      </c>
      <c r="F26" s="15">
        <v>0</v>
      </c>
      <c r="G26" s="15">
        <v>0</v>
      </c>
      <c r="H26" s="15">
        <v>161</v>
      </c>
      <c r="I26" s="15">
        <v>1</v>
      </c>
      <c r="J26" s="15">
        <v>0</v>
      </c>
      <c r="K26" s="15">
        <v>1</v>
      </c>
      <c r="L26" s="15">
        <v>1</v>
      </c>
      <c r="M26" s="15">
        <v>7</v>
      </c>
      <c r="N26" s="15">
        <v>1</v>
      </c>
      <c r="O26" s="17">
        <f t="shared" si="0"/>
        <v>1.2546872390442427</v>
      </c>
      <c r="P26" s="17">
        <f t="shared" si="1"/>
        <v>0.77811018996578762</v>
      </c>
      <c r="Q26" s="17">
        <f t="shared" si="2"/>
        <v>1</v>
      </c>
      <c r="R26" s="17">
        <f t="shared" si="6"/>
        <v>0</v>
      </c>
      <c r="S26" s="17">
        <f t="shared" si="7"/>
        <v>0.77811018996578762</v>
      </c>
      <c r="T26" s="17">
        <f t="shared" si="5"/>
        <v>-0.25088713248588862</v>
      </c>
    </row>
    <row r="27" spans="1:20" x14ac:dyDescent="0.3">
      <c r="A27" s="15">
        <v>61</v>
      </c>
      <c r="B27" s="15">
        <v>1</v>
      </c>
      <c r="C27" s="15">
        <v>4</v>
      </c>
      <c r="D27" s="15">
        <v>120</v>
      </c>
      <c r="E27" s="15">
        <v>260</v>
      </c>
      <c r="F27" s="15">
        <v>0</v>
      </c>
      <c r="G27" s="15">
        <v>0</v>
      </c>
      <c r="H27" s="15">
        <v>140</v>
      </c>
      <c r="I27" s="15">
        <v>1</v>
      </c>
      <c r="J27" s="15">
        <v>3.6</v>
      </c>
      <c r="K27" s="15">
        <v>2</v>
      </c>
      <c r="L27" s="15">
        <v>1</v>
      </c>
      <c r="M27" s="15">
        <v>7</v>
      </c>
      <c r="N27" s="15">
        <v>1</v>
      </c>
      <c r="O27" s="17">
        <f t="shared" si="0"/>
        <v>3.0367655626615022</v>
      </c>
      <c r="P27" s="17">
        <f t="shared" si="1"/>
        <v>0.9542077067614303</v>
      </c>
      <c r="Q27" s="17">
        <f t="shared" si="2"/>
        <v>1</v>
      </c>
      <c r="R27" s="17">
        <f t="shared" si="6"/>
        <v>0</v>
      </c>
      <c r="S27" s="17">
        <f t="shared" si="7"/>
        <v>0.9542077067614303</v>
      </c>
      <c r="T27" s="17">
        <f t="shared" si="5"/>
        <v>-4.6873909259690295E-2</v>
      </c>
    </row>
    <row r="28" spans="1:20" x14ac:dyDescent="0.3">
      <c r="A28" s="15">
        <v>39</v>
      </c>
      <c r="B28" s="15">
        <v>1</v>
      </c>
      <c r="C28" s="15">
        <v>4</v>
      </c>
      <c r="D28" s="15">
        <v>118</v>
      </c>
      <c r="E28" s="15">
        <v>219</v>
      </c>
      <c r="F28" s="15">
        <v>0</v>
      </c>
      <c r="G28" s="15">
        <v>0</v>
      </c>
      <c r="H28" s="15">
        <v>140</v>
      </c>
      <c r="I28" s="15">
        <v>0</v>
      </c>
      <c r="J28" s="15">
        <v>1.2</v>
      </c>
      <c r="K28" s="15">
        <v>2</v>
      </c>
      <c r="L28" s="15">
        <v>0</v>
      </c>
      <c r="M28" s="15">
        <v>7</v>
      </c>
      <c r="N28" s="15">
        <v>1</v>
      </c>
      <c r="O28" s="17">
        <f t="shared" si="0"/>
        <v>0.43741413689744846</v>
      </c>
      <c r="P28" s="17">
        <f t="shared" si="1"/>
        <v>0.60764269913800173</v>
      </c>
      <c r="Q28" s="17">
        <f t="shared" si="2"/>
        <v>1</v>
      </c>
      <c r="R28" s="17">
        <f t="shared" si="6"/>
        <v>0</v>
      </c>
      <c r="S28" s="17">
        <f t="shared" si="7"/>
        <v>0.60764269913800173</v>
      </c>
      <c r="T28" s="17">
        <f t="shared" si="5"/>
        <v>-0.49816823565069474</v>
      </c>
    </row>
    <row r="29" spans="1:20" x14ac:dyDescent="0.3">
      <c r="A29" s="15">
        <v>52</v>
      </c>
      <c r="B29" s="15">
        <v>1</v>
      </c>
      <c r="C29" s="15">
        <v>1</v>
      </c>
      <c r="D29" s="15">
        <v>118</v>
      </c>
      <c r="E29" s="15">
        <v>186</v>
      </c>
      <c r="F29" s="15">
        <v>0</v>
      </c>
      <c r="G29" s="15">
        <v>2</v>
      </c>
      <c r="H29" s="15">
        <v>190</v>
      </c>
      <c r="I29" s="15">
        <v>0</v>
      </c>
      <c r="J29" s="15">
        <v>0</v>
      </c>
      <c r="K29" s="15">
        <v>2</v>
      </c>
      <c r="L29" s="15">
        <v>0</v>
      </c>
      <c r="M29" s="15">
        <v>6</v>
      </c>
      <c r="N29" s="15">
        <v>0</v>
      </c>
      <c r="O29" s="17">
        <f t="shared" si="0"/>
        <v>-3.4391705921968558</v>
      </c>
      <c r="P29" s="17">
        <f t="shared" si="1"/>
        <v>3.1093461729622848E-2</v>
      </c>
      <c r="Q29" s="17">
        <f t="shared" si="2"/>
        <v>0</v>
      </c>
      <c r="R29" s="17">
        <f t="shared" si="6"/>
        <v>0</v>
      </c>
      <c r="S29" s="17">
        <f t="shared" si="7"/>
        <v>0.9689065382703772</v>
      </c>
      <c r="T29" s="17">
        <f t="shared" si="5"/>
        <v>-3.1587123476495227E-2</v>
      </c>
    </row>
    <row r="30" spans="1:20" x14ac:dyDescent="0.3">
      <c r="A30" s="15">
        <v>62</v>
      </c>
      <c r="B30" s="15">
        <v>0</v>
      </c>
      <c r="C30" s="15">
        <v>3</v>
      </c>
      <c r="D30" s="15">
        <v>130</v>
      </c>
      <c r="E30" s="15">
        <v>263</v>
      </c>
      <c r="F30" s="15">
        <v>0</v>
      </c>
      <c r="G30" s="15">
        <v>0</v>
      </c>
      <c r="H30" s="15">
        <v>97</v>
      </c>
      <c r="I30" s="15">
        <v>0</v>
      </c>
      <c r="J30" s="15">
        <v>1.2</v>
      </c>
      <c r="K30" s="15">
        <v>2</v>
      </c>
      <c r="L30" s="15">
        <v>1</v>
      </c>
      <c r="M30" s="15">
        <v>7</v>
      </c>
      <c r="N30" s="15">
        <v>1</v>
      </c>
      <c r="O30" s="17">
        <f t="shared" si="0"/>
        <v>1.2250558955539432</v>
      </c>
      <c r="P30" s="17">
        <f t="shared" si="1"/>
        <v>0.77295206905782077</v>
      </c>
      <c r="Q30" s="17">
        <f t="shared" si="2"/>
        <v>1</v>
      </c>
      <c r="R30" s="17">
        <f t="shared" si="6"/>
        <v>0</v>
      </c>
      <c r="S30" s="17">
        <f t="shared" si="7"/>
        <v>0.77295206905782077</v>
      </c>
      <c r="T30" s="17">
        <f t="shared" si="5"/>
        <v>-0.25753823871069581</v>
      </c>
    </row>
    <row r="31" spans="1:20" x14ac:dyDescent="0.3">
      <c r="A31" s="15">
        <v>48</v>
      </c>
      <c r="B31" s="15">
        <v>1</v>
      </c>
      <c r="C31" s="15">
        <v>4</v>
      </c>
      <c r="D31" s="15">
        <v>130</v>
      </c>
      <c r="E31" s="15">
        <v>256</v>
      </c>
      <c r="F31" s="15">
        <v>1</v>
      </c>
      <c r="G31" s="15">
        <v>2</v>
      </c>
      <c r="H31" s="15">
        <v>150</v>
      </c>
      <c r="I31" s="15">
        <v>1</v>
      </c>
      <c r="J31" s="15">
        <v>0</v>
      </c>
      <c r="K31" s="15">
        <v>1</v>
      </c>
      <c r="L31" s="15">
        <v>2</v>
      </c>
      <c r="M31" s="15">
        <v>7</v>
      </c>
      <c r="N31" s="15">
        <v>1</v>
      </c>
      <c r="O31" s="17">
        <f t="shared" si="0"/>
        <v>2.9793243748062768</v>
      </c>
      <c r="P31" s="17">
        <f t="shared" si="1"/>
        <v>0.9516312822906331</v>
      </c>
      <c r="Q31" s="17">
        <f t="shared" si="2"/>
        <v>1</v>
      </c>
      <c r="R31" s="17">
        <f t="shared" si="6"/>
        <v>0</v>
      </c>
      <c r="S31" s="17">
        <f t="shared" si="7"/>
        <v>0.9516312822906331</v>
      </c>
      <c r="T31" s="17">
        <f t="shared" si="5"/>
        <v>-4.9577627732330508E-2</v>
      </c>
    </row>
    <row r="32" spans="1:20" x14ac:dyDescent="0.3">
      <c r="A32" s="15">
        <v>65</v>
      </c>
      <c r="B32" s="15">
        <v>1</v>
      </c>
      <c r="C32" s="15">
        <v>1</v>
      </c>
      <c r="D32" s="15">
        <v>138</v>
      </c>
      <c r="E32" s="15">
        <v>282</v>
      </c>
      <c r="F32" s="15">
        <v>1</v>
      </c>
      <c r="G32" s="15">
        <v>2</v>
      </c>
      <c r="H32" s="15">
        <v>174</v>
      </c>
      <c r="I32" s="15">
        <v>0</v>
      </c>
      <c r="J32" s="15">
        <v>1.4</v>
      </c>
      <c r="K32" s="15">
        <v>2</v>
      </c>
      <c r="L32" s="15">
        <v>1</v>
      </c>
      <c r="M32" s="15">
        <v>3</v>
      </c>
      <c r="N32" s="15">
        <v>1</v>
      </c>
      <c r="O32" s="17">
        <f t="shared" si="0"/>
        <v>-2.0781812486252162</v>
      </c>
      <c r="P32" s="17">
        <f t="shared" si="1"/>
        <v>0.11123564551879055</v>
      </c>
      <c r="Q32" s="17">
        <f t="shared" si="2"/>
        <v>0</v>
      </c>
      <c r="R32" s="17">
        <f t="shared" si="6"/>
        <v>1</v>
      </c>
      <c r="S32" s="17">
        <f t="shared" si="7"/>
        <v>0.11123564551879055</v>
      </c>
      <c r="T32" s="17">
        <f t="shared" si="5"/>
        <v>-2.1961043953053303</v>
      </c>
    </row>
    <row r="33" spans="1:20" x14ac:dyDescent="0.3">
      <c r="A33" s="15">
        <v>45</v>
      </c>
      <c r="B33" s="15">
        <v>0</v>
      </c>
      <c r="C33" s="15">
        <v>2</v>
      </c>
      <c r="D33" s="15">
        <v>130</v>
      </c>
      <c r="E33" s="15">
        <v>234</v>
      </c>
      <c r="F33" s="15">
        <v>0</v>
      </c>
      <c r="G33" s="15">
        <v>2</v>
      </c>
      <c r="H33" s="15">
        <v>175</v>
      </c>
      <c r="I33" s="15">
        <v>0</v>
      </c>
      <c r="J33" s="15">
        <v>0.6</v>
      </c>
      <c r="K33" s="15">
        <v>2</v>
      </c>
      <c r="L33" s="15">
        <v>0</v>
      </c>
      <c r="M33" s="15">
        <v>3</v>
      </c>
      <c r="N33" s="15">
        <v>0</v>
      </c>
      <c r="O33" s="17">
        <f t="shared" si="0"/>
        <v>-3.4063848074380987</v>
      </c>
      <c r="P33" s="17">
        <f t="shared" si="1"/>
        <v>3.2096518480208086E-2</v>
      </c>
      <c r="Q33" s="17">
        <f t="shared" si="2"/>
        <v>0</v>
      </c>
      <c r="R33" s="17">
        <f t="shared" si="6"/>
        <v>0</v>
      </c>
      <c r="S33" s="17">
        <f t="shared" si="7"/>
        <v>0.96790348151979189</v>
      </c>
      <c r="T33" s="17">
        <f t="shared" si="5"/>
        <v>-3.2622905850618875E-2</v>
      </c>
    </row>
    <row r="34" spans="1:20" x14ac:dyDescent="0.3">
      <c r="A34" s="15">
        <v>29</v>
      </c>
      <c r="B34" s="15">
        <v>1</v>
      </c>
      <c r="C34" s="15">
        <v>2</v>
      </c>
      <c r="D34" s="15">
        <v>130</v>
      </c>
      <c r="E34" s="15">
        <v>204</v>
      </c>
      <c r="F34" s="15">
        <v>0</v>
      </c>
      <c r="G34" s="15">
        <v>2</v>
      </c>
      <c r="H34" s="15">
        <v>202</v>
      </c>
      <c r="I34" s="15">
        <v>0</v>
      </c>
      <c r="J34" s="15">
        <v>0</v>
      </c>
      <c r="K34" s="15">
        <v>1</v>
      </c>
      <c r="L34" s="15">
        <v>0</v>
      </c>
      <c r="M34" s="15">
        <v>3</v>
      </c>
      <c r="N34" s="15">
        <v>0</v>
      </c>
      <c r="O34" s="17">
        <f t="shared" si="0"/>
        <v>-3.952359378144493</v>
      </c>
      <c r="P34" s="17">
        <f t="shared" si="1"/>
        <v>1.8847282603387742E-2</v>
      </c>
      <c r="Q34" s="17">
        <f t="shared" si="2"/>
        <v>0</v>
      </c>
      <c r="R34" s="17">
        <f t="shared" si="6"/>
        <v>0</v>
      </c>
      <c r="S34" s="17">
        <f t="shared" si="7"/>
        <v>0.98115271739661225</v>
      </c>
      <c r="T34" s="17">
        <f t="shared" si="5"/>
        <v>-1.9027156307000075E-2</v>
      </c>
    </row>
    <row r="35" spans="1:20" x14ac:dyDescent="0.3">
      <c r="A35" s="15">
        <v>51</v>
      </c>
      <c r="B35" s="15">
        <v>1</v>
      </c>
      <c r="C35" s="15">
        <v>4</v>
      </c>
      <c r="D35" s="15">
        <v>140</v>
      </c>
      <c r="E35" s="15">
        <v>261</v>
      </c>
      <c r="F35" s="15">
        <v>0</v>
      </c>
      <c r="G35" s="15">
        <v>2</v>
      </c>
      <c r="H35" s="15">
        <v>186</v>
      </c>
      <c r="I35" s="15">
        <v>1</v>
      </c>
      <c r="J35" s="15">
        <v>0</v>
      </c>
      <c r="K35" s="15">
        <v>1</v>
      </c>
      <c r="L35" s="15">
        <v>0</v>
      </c>
      <c r="M35" s="15">
        <v>3</v>
      </c>
      <c r="N35" s="15">
        <v>0</v>
      </c>
      <c r="O35" s="17">
        <f t="shared" si="0"/>
        <v>-1.0134431510873148</v>
      </c>
      <c r="P35" s="17">
        <f t="shared" si="1"/>
        <v>0.266306561410806</v>
      </c>
      <c r="Q35" s="17">
        <f t="shared" si="2"/>
        <v>0</v>
      </c>
      <c r="R35" s="17">
        <f t="shared" si="6"/>
        <v>0</v>
      </c>
      <c r="S35" s="17">
        <f t="shared" si="7"/>
        <v>0.733693438589194</v>
      </c>
      <c r="T35" s="17">
        <f t="shared" si="5"/>
        <v>-0.30966399620909485</v>
      </c>
    </row>
    <row r="36" spans="1:20" x14ac:dyDescent="0.3">
      <c r="A36" s="15">
        <v>55</v>
      </c>
      <c r="B36" s="15">
        <v>0</v>
      </c>
      <c r="C36" s="15">
        <v>2</v>
      </c>
      <c r="D36" s="15">
        <v>135</v>
      </c>
      <c r="E36" s="15">
        <v>250</v>
      </c>
      <c r="F36" s="15">
        <v>0</v>
      </c>
      <c r="G36" s="15">
        <v>2</v>
      </c>
      <c r="H36" s="15">
        <v>161</v>
      </c>
      <c r="I36" s="15">
        <v>0</v>
      </c>
      <c r="J36" s="15">
        <v>1.4</v>
      </c>
      <c r="K36" s="15">
        <v>2</v>
      </c>
      <c r="L36" s="15">
        <v>0</v>
      </c>
      <c r="M36" s="15">
        <v>3</v>
      </c>
      <c r="N36" s="15">
        <v>0</v>
      </c>
      <c r="O36" s="17">
        <f t="shared" si="0"/>
        <v>-2.8477382949351391</v>
      </c>
      <c r="P36" s="17">
        <f t="shared" si="1"/>
        <v>5.4798345443383273E-2</v>
      </c>
      <c r="Q36" s="17">
        <f t="shared" si="2"/>
        <v>0</v>
      </c>
      <c r="R36" s="17">
        <f t="shared" si="6"/>
        <v>0</v>
      </c>
      <c r="S36" s="17">
        <f t="shared" si="7"/>
        <v>0.94520165455661675</v>
      </c>
      <c r="T36" s="17">
        <f t="shared" si="5"/>
        <v>-5.6356983187826282E-2</v>
      </c>
    </row>
    <row r="37" spans="1:20" x14ac:dyDescent="0.3">
      <c r="A37" s="15">
        <v>70</v>
      </c>
      <c r="B37" s="15">
        <v>1</v>
      </c>
      <c r="C37" s="15">
        <v>4</v>
      </c>
      <c r="D37" s="15">
        <v>145</v>
      </c>
      <c r="E37" s="15">
        <v>174</v>
      </c>
      <c r="F37" s="15">
        <v>0</v>
      </c>
      <c r="G37" s="15">
        <v>0</v>
      </c>
      <c r="H37" s="15">
        <v>125</v>
      </c>
      <c r="I37" s="15">
        <v>1</v>
      </c>
      <c r="J37" s="15">
        <v>2.6</v>
      </c>
      <c r="K37" s="15">
        <v>3</v>
      </c>
      <c r="L37" s="15">
        <v>0</v>
      </c>
      <c r="M37" s="15">
        <v>7</v>
      </c>
      <c r="N37" s="15">
        <v>1</v>
      </c>
      <c r="O37" s="17">
        <f t="shared" si="0"/>
        <v>3.0381995718565076</v>
      </c>
      <c r="P37" s="17">
        <f t="shared" si="1"/>
        <v>0.9542703255114815</v>
      </c>
      <c r="Q37" s="17">
        <f t="shared" si="2"/>
        <v>1</v>
      </c>
      <c r="R37" s="17">
        <f t="shared" si="6"/>
        <v>0</v>
      </c>
      <c r="S37" s="17">
        <f t="shared" si="7"/>
        <v>0.9542703255114815</v>
      </c>
      <c r="T37" s="17">
        <f t="shared" si="5"/>
        <v>-4.6808287597806038E-2</v>
      </c>
    </row>
    <row r="38" spans="1:20" x14ac:dyDescent="0.3">
      <c r="A38" s="15">
        <v>51</v>
      </c>
      <c r="B38" s="15">
        <v>1</v>
      </c>
      <c r="C38" s="15">
        <v>3</v>
      </c>
      <c r="D38" s="15">
        <v>125</v>
      </c>
      <c r="E38" s="15">
        <v>245</v>
      </c>
      <c r="F38" s="15">
        <v>1</v>
      </c>
      <c r="G38" s="15">
        <v>2</v>
      </c>
      <c r="H38" s="15">
        <v>166</v>
      </c>
      <c r="I38" s="15">
        <v>0</v>
      </c>
      <c r="J38" s="15">
        <v>2.4</v>
      </c>
      <c r="K38" s="15">
        <v>2</v>
      </c>
      <c r="L38" s="15">
        <v>0</v>
      </c>
      <c r="M38" s="15">
        <v>3</v>
      </c>
      <c r="N38" s="15">
        <v>0</v>
      </c>
      <c r="O38" s="17">
        <f t="shared" si="0"/>
        <v>-1.7572272963736859</v>
      </c>
      <c r="P38" s="17">
        <f t="shared" si="1"/>
        <v>0.14713794154362009</v>
      </c>
      <c r="Q38" s="17">
        <f t="shared" si="2"/>
        <v>0</v>
      </c>
      <c r="R38" s="17">
        <f t="shared" si="6"/>
        <v>0</v>
      </c>
      <c r="S38" s="17">
        <f t="shared" si="7"/>
        <v>0.85286205845637997</v>
      </c>
      <c r="T38" s="17">
        <f t="shared" si="5"/>
        <v>-0.15915745798321493</v>
      </c>
    </row>
    <row r="39" spans="1:20" x14ac:dyDescent="0.3">
      <c r="A39" s="15">
        <v>59</v>
      </c>
      <c r="B39" s="15">
        <v>1</v>
      </c>
      <c r="C39" s="15">
        <v>2</v>
      </c>
      <c r="D39" s="15">
        <v>140</v>
      </c>
      <c r="E39" s="15">
        <v>221</v>
      </c>
      <c r="F39" s="15">
        <v>0</v>
      </c>
      <c r="G39" s="15">
        <v>0</v>
      </c>
      <c r="H39" s="15">
        <v>164</v>
      </c>
      <c r="I39" s="15">
        <v>1</v>
      </c>
      <c r="J39" s="15">
        <v>0</v>
      </c>
      <c r="K39" s="15">
        <v>1</v>
      </c>
      <c r="L39" s="15">
        <v>0</v>
      </c>
      <c r="M39" s="15">
        <v>3</v>
      </c>
      <c r="N39" s="15">
        <v>0</v>
      </c>
      <c r="O39" s="17">
        <f t="shared" si="0"/>
        <v>-2.8839460864341371</v>
      </c>
      <c r="P39" s="17">
        <f t="shared" si="1"/>
        <v>5.2952895101770404E-2</v>
      </c>
      <c r="Q39" s="17">
        <f t="shared" si="2"/>
        <v>0</v>
      </c>
      <c r="R39" s="17">
        <f t="shared" si="6"/>
        <v>0</v>
      </c>
      <c r="S39" s="17">
        <f t="shared" si="7"/>
        <v>0.94704710489822963</v>
      </c>
      <c r="T39" s="17">
        <f t="shared" si="5"/>
        <v>-5.4406445852297619E-2</v>
      </c>
    </row>
    <row r="40" spans="1:20" x14ac:dyDescent="0.3">
      <c r="A40" s="15">
        <v>59</v>
      </c>
      <c r="B40" s="15">
        <v>1</v>
      </c>
      <c r="C40" s="15">
        <v>1</v>
      </c>
      <c r="D40" s="15">
        <v>170</v>
      </c>
      <c r="E40" s="15">
        <v>288</v>
      </c>
      <c r="F40" s="15">
        <v>0</v>
      </c>
      <c r="G40" s="15">
        <v>2</v>
      </c>
      <c r="H40" s="15">
        <v>159</v>
      </c>
      <c r="I40" s="15">
        <v>0</v>
      </c>
      <c r="J40" s="15">
        <v>0.2</v>
      </c>
      <c r="K40" s="15">
        <v>2</v>
      </c>
      <c r="L40" s="15">
        <v>0</v>
      </c>
      <c r="M40" s="15">
        <v>7</v>
      </c>
      <c r="N40" s="15">
        <v>1</v>
      </c>
      <c r="O40" s="17">
        <f t="shared" si="0"/>
        <v>-0.65769206333118113</v>
      </c>
      <c r="P40" s="17">
        <f t="shared" si="1"/>
        <v>0.34125824790838094</v>
      </c>
      <c r="Q40" s="17">
        <f t="shared" si="2"/>
        <v>0</v>
      </c>
      <c r="R40" s="17">
        <f t="shared" si="6"/>
        <v>1</v>
      </c>
      <c r="S40" s="17">
        <f t="shared" si="7"/>
        <v>0.34125824790838094</v>
      </c>
      <c r="T40" s="17">
        <f t="shared" si="5"/>
        <v>-1.0751157630801607</v>
      </c>
    </row>
    <row r="41" spans="1:20" x14ac:dyDescent="0.3">
      <c r="A41" s="15">
        <v>52</v>
      </c>
      <c r="B41" s="15">
        <v>1</v>
      </c>
      <c r="C41" s="15">
        <v>2</v>
      </c>
      <c r="D41" s="15">
        <v>128</v>
      </c>
      <c r="E41" s="15">
        <v>205</v>
      </c>
      <c r="F41" s="15">
        <v>1</v>
      </c>
      <c r="G41" s="15">
        <v>0</v>
      </c>
      <c r="H41" s="15">
        <v>184</v>
      </c>
      <c r="I41" s="15">
        <v>0</v>
      </c>
      <c r="J41" s="15">
        <v>0</v>
      </c>
      <c r="K41" s="15">
        <v>1</v>
      </c>
      <c r="L41" s="15">
        <v>0</v>
      </c>
      <c r="M41" s="15">
        <v>3</v>
      </c>
      <c r="N41" s="15">
        <v>0</v>
      </c>
      <c r="O41" s="17">
        <f t="shared" si="0"/>
        <v>-4.8676946360366609</v>
      </c>
      <c r="P41" s="17">
        <f t="shared" si="1"/>
        <v>7.6323744255447573E-3</v>
      </c>
      <c r="Q41" s="17">
        <f t="shared" si="2"/>
        <v>0</v>
      </c>
      <c r="R41" s="17">
        <f t="shared" si="6"/>
        <v>0</v>
      </c>
      <c r="S41" s="17">
        <f t="shared" si="7"/>
        <v>0.99236762557445524</v>
      </c>
      <c r="T41" s="17">
        <f t="shared" si="5"/>
        <v>-7.6616500520578761E-3</v>
      </c>
    </row>
    <row r="42" spans="1:20" x14ac:dyDescent="0.3">
      <c r="A42" s="15">
        <v>41</v>
      </c>
      <c r="B42" s="15">
        <v>1</v>
      </c>
      <c r="C42" s="15">
        <v>3</v>
      </c>
      <c r="D42" s="15">
        <v>112</v>
      </c>
      <c r="E42" s="15">
        <v>250</v>
      </c>
      <c r="F42" s="15">
        <v>0</v>
      </c>
      <c r="G42" s="15">
        <v>0</v>
      </c>
      <c r="H42" s="15">
        <v>179</v>
      </c>
      <c r="I42" s="15">
        <v>0</v>
      </c>
      <c r="J42" s="15">
        <v>0</v>
      </c>
      <c r="K42" s="15">
        <v>1</v>
      </c>
      <c r="L42" s="15">
        <v>0</v>
      </c>
      <c r="M42" s="15">
        <v>3</v>
      </c>
      <c r="N42" s="15">
        <v>0</v>
      </c>
      <c r="O42" s="17">
        <f t="shared" si="0"/>
        <v>-3.6908545339144467</v>
      </c>
      <c r="P42" s="17">
        <f t="shared" si="1"/>
        <v>2.4343290289693519E-2</v>
      </c>
      <c r="Q42" s="17">
        <f t="shared" si="2"/>
        <v>0</v>
      </c>
      <c r="R42" s="17">
        <f t="shared" si="6"/>
        <v>0</v>
      </c>
      <c r="S42" s="17">
        <f t="shared" si="7"/>
        <v>0.97565670971030649</v>
      </c>
      <c r="T42" s="17">
        <f t="shared" si="5"/>
        <v>-2.4644486295396058E-2</v>
      </c>
    </row>
    <row r="43" spans="1:20" x14ac:dyDescent="0.3">
      <c r="A43" s="15">
        <v>52</v>
      </c>
      <c r="B43" s="15">
        <v>1</v>
      </c>
      <c r="C43" s="15">
        <v>1</v>
      </c>
      <c r="D43" s="15">
        <v>152</v>
      </c>
      <c r="E43" s="15">
        <v>298</v>
      </c>
      <c r="F43" s="15">
        <v>1</v>
      </c>
      <c r="G43" s="15">
        <v>0</v>
      </c>
      <c r="H43" s="15">
        <v>178</v>
      </c>
      <c r="I43" s="15">
        <v>0</v>
      </c>
      <c r="J43" s="15">
        <v>1.2</v>
      </c>
      <c r="K43" s="15">
        <v>2</v>
      </c>
      <c r="L43" s="15">
        <v>0</v>
      </c>
      <c r="M43" s="15">
        <v>7</v>
      </c>
      <c r="N43" s="15">
        <v>0</v>
      </c>
      <c r="O43" s="17">
        <f t="shared" si="0"/>
        <v>-2.2614543998613925</v>
      </c>
      <c r="P43" s="17">
        <f t="shared" si="1"/>
        <v>9.4366001048526216E-2</v>
      </c>
      <c r="Q43" s="17">
        <f t="shared" si="2"/>
        <v>0</v>
      </c>
      <c r="R43" s="17">
        <f t="shared" si="6"/>
        <v>0</v>
      </c>
      <c r="S43" s="17">
        <f t="shared" si="7"/>
        <v>0.90563399895147378</v>
      </c>
      <c r="T43" s="17">
        <f t="shared" si="5"/>
        <v>-9.9120029226153372E-2</v>
      </c>
    </row>
    <row r="44" spans="1:20" x14ac:dyDescent="0.3">
      <c r="A44" s="15">
        <v>64</v>
      </c>
      <c r="B44" s="15">
        <v>1</v>
      </c>
      <c r="C44" s="15">
        <v>4</v>
      </c>
      <c r="D44" s="15">
        <v>120</v>
      </c>
      <c r="E44" s="15">
        <v>246</v>
      </c>
      <c r="F44" s="15">
        <v>0</v>
      </c>
      <c r="G44" s="15">
        <v>2</v>
      </c>
      <c r="H44" s="15">
        <v>96</v>
      </c>
      <c r="I44" s="15">
        <v>1</v>
      </c>
      <c r="J44" s="15">
        <v>2.2000000000000002</v>
      </c>
      <c r="K44" s="15">
        <v>3</v>
      </c>
      <c r="L44" s="15">
        <v>1</v>
      </c>
      <c r="M44" s="15">
        <v>3</v>
      </c>
      <c r="N44" s="15">
        <v>1</v>
      </c>
      <c r="O44" s="17">
        <f t="shared" si="0"/>
        <v>3.6994443531534564</v>
      </c>
      <c r="P44" s="17">
        <f t="shared" si="1"/>
        <v>0.97585989246844829</v>
      </c>
      <c r="Q44" s="17">
        <f t="shared" si="2"/>
        <v>1</v>
      </c>
      <c r="R44" s="17">
        <f t="shared" si="6"/>
        <v>0</v>
      </c>
      <c r="S44" s="17">
        <f t="shared" si="7"/>
        <v>0.97585989246844829</v>
      </c>
      <c r="T44" s="17">
        <f t="shared" si="5"/>
        <v>-2.4436255672454783E-2</v>
      </c>
    </row>
    <row r="45" spans="1:20" x14ac:dyDescent="0.3">
      <c r="A45" s="15">
        <v>51</v>
      </c>
      <c r="B45" s="15">
        <v>1</v>
      </c>
      <c r="C45" s="15">
        <v>4</v>
      </c>
      <c r="D45" s="15">
        <v>140</v>
      </c>
      <c r="E45" s="15">
        <v>299</v>
      </c>
      <c r="F45" s="15">
        <v>0</v>
      </c>
      <c r="G45" s="15">
        <v>0</v>
      </c>
      <c r="H45" s="15">
        <v>173</v>
      </c>
      <c r="I45" s="15">
        <v>1</v>
      </c>
      <c r="J45" s="15">
        <v>1.6</v>
      </c>
      <c r="K45" s="15">
        <v>1</v>
      </c>
      <c r="L45" s="15">
        <v>0</v>
      </c>
      <c r="M45" s="15">
        <v>7</v>
      </c>
      <c r="N45" s="15">
        <v>1</v>
      </c>
      <c r="O45" s="17">
        <f t="shared" si="0"/>
        <v>0.45131331778853045</v>
      </c>
      <c r="P45" s="17">
        <f t="shared" si="1"/>
        <v>0.61095144161061099</v>
      </c>
      <c r="Q45" s="17">
        <f t="shared" si="2"/>
        <v>1</v>
      </c>
      <c r="R45" s="17">
        <f t="shared" si="6"/>
        <v>0</v>
      </c>
      <c r="S45" s="17">
        <f t="shared" si="7"/>
        <v>0.61095144161061099</v>
      </c>
      <c r="T45" s="17">
        <f t="shared" si="5"/>
        <v>-0.4927377966011261</v>
      </c>
    </row>
    <row r="46" spans="1:20" x14ac:dyDescent="0.3">
      <c r="A46" s="15">
        <v>54</v>
      </c>
      <c r="B46" s="15">
        <v>0</v>
      </c>
      <c r="C46" s="15">
        <v>3</v>
      </c>
      <c r="D46" s="15">
        <v>110</v>
      </c>
      <c r="E46" s="15">
        <v>214</v>
      </c>
      <c r="F46" s="15">
        <v>0</v>
      </c>
      <c r="G46" s="15">
        <v>0</v>
      </c>
      <c r="H46" s="15">
        <v>158</v>
      </c>
      <c r="I46" s="15">
        <v>0</v>
      </c>
      <c r="J46" s="15">
        <v>1.6</v>
      </c>
      <c r="K46" s="15">
        <v>2</v>
      </c>
      <c r="L46" s="15">
        <v>0</v>
      </c>
      <c r="M46" s="15">
        <v>3</v>
      </c>
      <c r="N46" s="15">
        <v>0</v>
      </c>
      <c r="O46" s="17">
        <f t="shared" si="0"/>
        <v>-3.2343854898531434</v>
      </c>
      <c r="P46" s="17">
        <f t="shared" si="1"/>
        <v>3.7892044207179308E-2</v>
      </c>
      <c r="Q46" s="17">
        <f t="shared" si="2"/>
        <v>0</v>
      </c>
      <c r="R46" s="17">
        <f t="shared" si="6"/>
        <v>0</v>
      </c>
      <c r="S46" s="17">
        <f t="shared" si="7"/>
        <v>0.96210795579282071</v>
      </c>
      <c r="T46" s="17">
        <f t="shared" si="5"/>
        <v>-3.8628614453784266E-2</v>
      </c>
    </row>
    <row r="47" spans="1:20" x14ac:dyDescent="0.3">
      <c r="A47" s="15">
        <v>48</v>
      </c>
      <c r="B47" s="15">
        <v>1</v>
      </c>
      <c r="C47" s="15">
        <v>3</v>
      </c>
      <c r="D47" s="15">
        <v>124</v>
      </c>
      <c r="E47" s="15">
        <v>255</v>
      </c>
      <c r="F47" s="15">
        <v>1</v>
      </c>
      <c r="G47" s="15">
        <v>0</v>
      </c>
      <c r="H47" s="15">
        <v>175</v>
      </c>
      <c r="I47" s="15">
        <v>0</v>
      </c>
      <c r="J47" s="15">
        <v>0</v>
      </c>
      <c r="K47" s="15">
        <v>1</v>
      </c>
      <c r="L47" s="15">
        <v>2</v>
      </c>
      <c r="M47" s="15">
        <v>3</v>
      </c>
      <c r="N47" s="15">
        <v>0</v>
      </c>
      <c r="O47" s="17">
        <f t="shared" si="0"/>
        <v>-0.99028368430262681</v>
      </c>
      <c r="P47" s="17">
        <f t="shared" si="1"/>
        <v>0.27085604833091248</v>
      </c>
      <c r="Q47" s="17">
        <f t="shared" si="2"/>
        <v>0</v>
      </c>
      <c r="R47" s="17">
        <f t="shared" si="6"/>
        <v>0</v>
      </c>
      <c r="S47" s="17">
        <f t="shared" si="7"/>
        <v>0.72914395166908752</v>
      </c>
      <c r="T47" s="17">
        <f t="shared" si="5"/>
        <v>-0.31588410190039073</v>
      </c>
    </row>
    <row r="48" spans="1:20" x14ac:dyDescent="0.3">
      <c r="A48" s="15">
        <v>57</v>
      </c>
      <c r="B48" s="15">
        <v>1</v>
      </c>
      <c r="C48" s="15">
        <v>4</v>
      </c>
      <c r="D48" s="15">
        <v>132</v>
      </c>
      <c r="E48" s="15">
        <v>207</v>
      </c>
      <c r="F48" s="15">
        <v>0</v>
      </c>
      <c r="G48" s="15">
        <v>0</v>
      </c>
      <c r="H48" s="15">
        <v>168</v>
      </c>
      <c r="I48" s="15">
        <v>1</v>
      </c>
      <c r="J48" s="15">
        <v>0</v>
      </c>
      <c r="K48" s="15">
        <v>1</v>
      </c>
      <c r="L48" s="15">
        <v>0</v>
      </c>
      <c r="M48" s="15">
        <v>7</v>
      </c>
      <c r="N48" s="15">
        <v>0</v>
      </c>
      <c r="O48" s="17">
        <f t="shared" si="0"/>
        <v>-0.34803845774153608</v>
      </c>
      <c r="P48" s="17">
        <f t="shared" si="1"/>
        <v>0.41385817064980507</v>
      </c>
      <c r="Q48" s="17">
        <f t="shared" si="2"/>
        <v>0</v>
      </c>
      <c r="R48" s="17">
        <f t="shared" si="6"/>
        <v>0</v>
      </c>
      <c r="S48" s="17">
        <f t="shared" si="7"/>
        <v>0.58614182935019499</v>
      </c>
      <c r="T48" s="17">
        <f t="shared" si="5"/>
        <v>-0.5341934890817237</v>
      </c>
    </row>
    <row r="49" spans="1:20" x14ac:dyDescent="0.3">
      <c r="A49" s="15">
        <v>70</v>
      </c>
      <c r="B49" s="15">
        <v>1</v>
      </c>
      <c r="C49" s="15">
        <v>3</v>
      </c>
      <c r="D49" s="15">
        <v>160</v>
      </c>
      <c r="E49" s="15">
        <v>269</v>
      </c>
      <c r="F49" s="15">
        <v>0</v>
      </c>
      <c r="G49" s="15">
        <v>0</v>
      </c>
      <c r="H49" s="15">
        <v>112</v>
      </c>
      <c r="I49" s="15">
        <v>1</v>
      </c>
      <c r="J49" s="15">
        <v>2.9</v>
      </c>
      <c r="K49" s="15">
        <v>2</v>
      </c>
      <c r="L49" s="15">
        <v>1</v>
      </c>
      <c r="M49" s="15">
        <v>7</v>
      </c>
      <c r="N49" s="15">
        <v>1</v>
      </c>
      <c r="O49" s="17">
        <f t="shared" si="0"/>
        <v>3.7916116932208705</v>
      </c>
      <c r="P49" s="17">
        <f t="shared" si="1"/>
        <v>0.97793847662340327</v>
      </c>
      <c r="Q49" s="17">
        <f t="shared" si="2"/>
        <v>1</v>
      </c>
      <c r="R49" s="17">
        <f t="shared" si="6"/>
        <v>0</v>
      </c>
      <c r="S49" s="17">
        <f t="shared" si="7"/>
        <v>0.97793847662340327</v>
      </c>
      <c r="T49" s="17">
        <f t="shared" si="5"/>
        <v>-2.2308518264102753E-2</v>
      </c>
    </row>
    <row r="50" spans="1:20" x14ac:dyDescent="0.3">
      <c r="A50" s="15">
        <v>53</v>
      </c>
      <c r="B50" s="15">
        <v>1</v>
      </c>
      <c r="C50" s="15">
        <v>4</v>
      </c>
      <c r="D50" s="15">
        <v>142</v>
      </c>
      <c r="E50" s="15">
        <v>226</v>
      </c>
      <c r="F50" s="15">
        <v>0</v>
      </c>
      <c r="G50" s="15">
        <v>2</v>
      </c>
      <c r="H50" s="15">
        <v>111</v>
      </c>
      <c r="I50" s="15">
        <v>1</v>
      </c>
      <c r="J50" s="15">
        <v>0</v>
      </c>
      <c r="K50" s="15">
        <v>1</v>
      </c>
      <c r="L50" s="15">
        <v>0</v>
      </c>
      <c r="M50" s="15">
        <v>7</v>
      </c>
      <c r="N50" s="15">
        <v>0</v>
      </c>
      <c r="O50" s="17">
        <f t="shared" si="0"/>
        <v>1.7299186721241089</v>
      </c>
      <c r="P50" s="17">
        <f t="shared" si="1"/>
        <v>0.84940201723181297</v>
      </c>
      <c r="Q50" s="17">
        <f t="shared" si="2"/>
        <v>1</v>
      </c>
      <c r="R50" s="17">
        <f t="shared" si="6"/>
        <v>1</v>
      </c>
      <c r="S50" s="17">
        <f t="shared" si="7"/>
        <v>0.15059798276818703</v>
      </c>
      <c r="T50" s="17">
        <f t="shared" si="5"/>
        <v>-1.8931413583396051</v>
      </c>
    </row>
    <row r="51" spans="1:20" x14ac:dyDescent="0.3">
      <c r="A51" s="15">
        <v>59</v>
      </c>
      <c r="B51" s="15">
        <v>1</v>
      </c>
      <c r="C51" s="15">
        <v>1</v>
      </c>
      <c r="D51" s="15">
        <v>178</v>
      </c>
      <c r="E51" s="15">
        <v>270</v>
      </c>
      <c r="F51" s="15">
        <v>0</v>
      </c>
      <c r="G51" s="15">
        <v>2</v>
      </c>
      <c r="H51" s="15">
        <v>145</v>
      </c>
      <c r="I51" s="15">
        <v>0</v>
      </c>
      <c r="J51" s="15">
        <v>4.2</v>
      </c>
      <c r="K51" s="15">
        <v>3</v>
      </c>
      <c r="L51" s="15">
        <v>0</v>
      </c>
      <c r="M51" s="15">
        <v>7</v>
      </c>
      <c r="N51" s="15">
        <v>0</v>
      </c>
      <c r="O51" s="17">
        <f t="shared" si="0"/>
        <v>1.6068932963269411</v>
      </c>
      <c r="P51" s="17">
        <f t="shared" si="1"/>
        <v>0.83297961459429037</v>
      </c>
      <c r="Q51" s="17">
        <f t="shared" si="2"/>
        <v>1</v>
      </c>
      <c r="R51" s="17">
        <f t="shared" si="6"/>
        <v>1</v>
      </c>
      <c r="S51" s="17">
        <f t="shared" si="7"/>
        <v>0.16702038540570963</v>
      </c>
      <c r="T51" s="17">
        <f t="shared" si="5"/>
        <v>-1.7896394057174478</v>
      </c>
    </row>
    <row r="52" spans="1:20" x14ac:dyDescent="0.3">
      <c r="A52" s="15">
        <v>69</v>
      </c>
      <c r="B52" s="15">
        <v>1</v>
      </c>
      <c r="C52" s="15">
        <v>3</v>
      </c>
      <c r="D52" s="15">
        <v>140</v>
      </c>
      <c r="E52" s="15">
        <v>254</v>
      </c>
      <c r="F52" s="15">
        <v>0</v>
      </c>
      <c r="G52" s="15">
        <v>2</v>
      </c>
      <c r="H52" s="15">
        <v>146</v>
      </c>
      <c r="I52" s="15">
        <v>0</v>
      </c>
      <c r="J52" s="15">
        <v>2</v>
      </c>
      <c r="K52" s="15">
        <v>2</v>
      </c>
      <c r="L52" s="15">
        <v>3</v>
      </c>
      <c r="M52" s="15">
        <v>7</v>
      </c>
      <c r="N52" s="15">
        <v>1</v>
      </c>
      <c r="O52" s="17">
        <f t="shared" si="0"/>
        <v>4.7848938429893284</v>
      </c>
      <c r="P52" s="17">
        <f t="shared" si="1"/>
        <v>0.99171421715999952</v>
      </c>
      <c r="Q52" s="17">
        <f t="shared" si="2"/>
        <v>1</v>
      </c>
      <c r="R52" s="17">
        <f t="shared" si="6"/>
        <v>0</v>
      </c>
      <c r="S52" s="17">
        <f t="shared" si="7"/>
        <v>0.99171421715999952</v>
      </c>
      <c r="T52" s="17">
        <f t="shared" si="5"/>
        <v>-8.320300742774376E-3</v>
      </c>
    </row>
    <row r="53" spans="1:20" x14ac:dyDescent="0.3">
      <c r="A53" s="15">
        <v>64</v>
      </c>
      <c r="B53" s="15">
        <v>0</v>
      </c>
      <c r="C53" s="15">
        <v>4</v>
      </c>
      <c r="D53" s="15">
        <v>180</v>
      </c>
      <c r="E53" s="15">
        <v>325</v>
      </c>
      <c r="F53" s="15">
        <v>0</v>
      </c>
      <c r="G53" s="15">
        <v>0</v>
      </c>
      <c r="H53" s="15">
        <v>154</v>
      </c>
      <c r="I53" s="15">
        <v>1</v>
      </c>
      <c r="J53" s="15">
        <v>0</v>
      </c>
      <c r="K53" s="15">
        <v>1</v>
      </c>
      <c r="L53" s="15">
        <v>0</v>
      </c>
      <c r="M53" s="15">
        <v>3</v>
      </c>
      <c r="N53" s="15">
        <v>0</v>
      </c>
      <c r="O53" s="17">
        <f t="shared" si="0"/>
        <v>-0.48028971655418573</v>
      </c>
      <c r="P53" s="17">
        <f t="shared" si="1"/>
        <v>0.38218371521952016</v>
      </c>
      <c r="Q53" s="17">
        <f t="shared" si="2"/>
        <v>0</v>
      </c>
      <c r="R53" s="17">
        <f t="shared" si="6"/>
        <v>0</v>
      </c>
      <c r="S53" s="17">
        <f t="shared" si="7"/>
        <v>0.61781628478047979</v>
      </c>
      <c r="T53" s="17">
        <f t="shared" si="5"/>
        <v>-0.4815641395370604</v>
      </c>
    </row>
    <row r="54" spans="1:20" x14ac:dyDescent="0.3">
      <c r="A54" s="15">
        <v>55</v>
      </c>
      <c r="B54" s="15">
        <v>1</v>
      </c>
      <c r="C54" s="15">
        <v>2</v>
      </c>
      <c r="D54" s="15">
        <v>130</v>
      </c>
      <c r="E54" s="15">
        <v>262</v>
      </c>
      <c r="F54" s="15">
        <v>0</v>
      </c>
      <c r="G54" s="15">
        <v>0</v>
      </c>
      <c r="H54" s="15">
        <v>155</v>
      </c>
      <c r="I54" s="15">
        <v>0</v>
      </c>
      <c r="J54" s="15">
        <v>0</v>
      </c>
      <c r="K54" s="15">
        <v>1</v>
      </c>
      <c r="L54" s="15">
        <v>0</v>
      </c>
      <c r="M54" s="15">
        <v>3</v>
      </c>
      <c r="N54" s="15">
        <v>0</v>
      </c>
      <c r="O54" s="17">
        <f t="shared" si="0"/>
        <v>-3.589847888140774</v>
      </c>
      <c r="P54" s="17">
        <f t="shared" si="1"/>
        <v>2.6861094638199849E-2</v>
      </c>
      <c r="Q54" s="17">
        <f t="shared" si="2"/>
        <v>0</v>
      </c>
      <c r="R54" s="17">
        <f t="shared" si="6"/>
        <v>0</v>
      </c>
      <c r="S54" s="17">
        <f t="shared" si="7"/>
        <v>0.97313890536180014</v>
      </c>
      <c r="T54" s="17">
        <f t="shared" si="5"/>
        <v>-2.7228447106833528E-2</v>
      </c>
    </row>
    <row r="55" spans="1:20" x14ac:dyDescent="0.3">
      <c r="A55" s="15">
        <v>46</v>
      </c>
      <c r="B55" s="15">
        <v>0</v>
      </c>
      <c r="C55" s="15">
        <v>2</v>
      </c>
      <c r="D55" s="15">
        <v>105</v>
      </c>
      <c r="E55" s="15">
        <v>204</v>
      </c>
      <c r="F55" s="15">
        <v>0</v>
      </c>
      <c r="G55" s="15">
        <v>0</v>
      </c>
      <c r="H55" s="15">
        <v>172</v>
      </c>
      <c r="I55" s="15">
        <v>0</v>
      </c>
      <c r="J55" s="15">
        <v>0</v>
      </c>
      <c r="K55" s="15">
        <v>1</v>
      </c>
      <c r="L55" s="15">
        <v>0</v>
      </c>
      <c r="M55" s="15">
        <v>3</v>
      </c>
      <c r="N55" s="15">
        <v>0</v>
      </c>
      <c r="O55" s="17">
        <f t="shared" si="0"/>
        <v>-5.6735914406537127</v>
      </c>
      <c r="P55" s="17">
        <f t="shared" si="1"/>
        <v>3.4237423989962111E-3</v>
      </c>
      <c r="Q55" s="17">
        <f t="shared" si="2"/>
        <v>0</v>
      </c>
      <c r="R55" s="17">
        <f t="shared" si="6"/>
        <v>0</v>
      </c>
      <c r="S55" s="17">
        <f t="shared" si="7"/>
        <v>0.99657625760100377</v>
      </c>
      <c r="T55" s="17">
        <f t="shared" si="5"/>
        <v>-3.4296168171658353E-3</v>
      </c>
    </row>
    <row r="56" spans="1:20" x14ac:dyDescent="0.3">
      <c r="A56" s="15">
        <v>47</v>
      </c>
      <c r="B56" s="15">
        <v>1</v>
      </c>
      <c r="C56" s="15">
        <v>4</v>
      </c>
      <c r="D56" s="15">
        <v>112</v>
      </c>
      <c r="E56" s="15">
        <v>204</v>
      </c>
      <c r="F56" s="15">
        <v>0</v>
      </c>
      <c r="G56" s="15">
        <v>0</v>
      </c>
      <c r="H56" s="15">
        <v>143</v>
      </c>
      <c r="I56" s="15">
        <v>0</v>
      </c>
      <c r="J56" s="15">
        <v>0.1</v>
      </c>
      <c r="K56" s="15">
        <v>1</v>
      </c>
      <c r="L56" s="15">
        <v>0</v>
      </c>
      <c r="M56" s="15">
        <v>3</v>
      </c>
      <c r="N56" s="15">
        <v>0</v>
      </c>
      <c r="O56" s="17">
        <f t="shared" si="0"/>
        <v>-2.2574420687752585</v>
      </c>
      <c r="P56" s="17">
        <f t="shared" si="1"/>
        <v>9.4709457639633537E-2</v>
      </c>
      <c r="Q56" s="17">
        <f t="shared" si="2"/>
        <v>0</v>
      </c>
      <c r="R56" s="17">
        <f t="shared" si="6"/>
        <v>0</v>
      </c>
      <c r="S56" s="17">
        <f t="shared" si="7"/>
        <v>0.90529054236036643</v>
      </c>
      <c r="T56" s="17">
        <f t="shared" si="5"/>
        <v>-9.9499345522763516E-2</v>
      </c>
    </row>
    <row r="57" spans="1:20" x14ac:dyDescent="0.3">
      <c r="A57" s="15">
        <v>54</v>
      </c>
      <c r="B57" s="15">
        <v>1</v>
      </c>
      <c r="C57" s="15">
        <v>4</v>
      </c>
      <c r="D57" s="15">
        <v>110</v>
      </c>
      <c r="E57" s="15">
        <v>206</v>
      </c>
      <c r="F57" s="15">
        <v>0</v>
      </c>
      <c r="G57" s="15">
        <v>2</v>
      </c>
      <c r="H57" s="15">
        <v>108</v>
      </c>
      <c r="I57" s="15">
        <v>1</v>
      </c>
      <c r="J57" s="15">
        <v>0</v>
      </c>
      <c r="K57" s="15">
        <v>2</v>
      </c>
      <c r="L57" s="15">
        <v>1</v>
      </c>
      <c r="M57" s="15">
        <v>3</v>
      </c>
      <c r="N57" s="15">
        <v>1</v>
      </c>
      <c r="O57" s="17">
        <f t="shared" si="0"/>
        <v>1.7934116000220186</v>
      </c>
      <c r="P57" s="17">
        <f t="shared" si="1"/>
        <v>0.85734503952968888</v>
      </c>
      <c r="Q57" s="17">
        <f t="shared" si="2"/>
        <v>1</v>
      </c>
      <c r="R57" s="17">
        <f t="shared" si="6"/>
        <v>0</v>
      </c>
      <c r="S57" s="17">
        <f t="shared" si="7"/>
        <v>0.85734503952968888</v>
      </c>
      <c r="T57" s="17">
        <f t="shared" si="5"/>
        <v>-0.15391482819113844</v>
      </c>
    </row>
    <row r="58" spans="1:20" x14ac:dyDescent="0.3">
      <c r="A58" s="15">
        <v>66</v>
      </c>
      <c r="B58" s="15">
        <v>1</v>
      </c>
      <c r="C58" s="15">
        <v>4</v>
      </c>
      <c r="D58" s="15">
        <v>112</v>
      </c>
      <c r="E58" s="15">
        <v>212</v>
      </c>
      <c r="F58" s="15">
        <v>0</v>
      </c>
      <c r="G58" s="15">
        <v>2</v>
      </c>
      <c r="H58" s="15">
        <v>132</v>
      </c>
      <c r="I58" s="15">
        <v>1</v>
      </c>
      <c r="J58" s="15">
        <v>0.1</v>
      </c>
      <c r="K58" s="15">
        <v>1</v>
      </c>
      <c r="L58" s="15">
        <v>1</v>
      </c>
      <c r="M58" s="15">
        <v>3</v>
      </c>
      <c r="N58" s="15">
        <v>1</v>
      </c>
      <c r="O58" s="17">
        <f t="shared" si="0"/>
        <v>0.39638928982643051</v>
      </c>
      <c r="P58" s="17">
        <f t="shared" si="1"/>
        <v>0.59781983990374643</v>
      </c>
      <c r="Q58" s="17">
        <f t="shared" si="2"/>
        <v>1</v>
      </c>
      <c r="R58" s="17">
        <f t="shared" si="6"/>
        <v>0</v>
      </c>
      <c r="S58" s="17">
        <f t="shared" si="7"/>
        <v>0.59781983990374643</v>
      </c>
      <c r="T58" s="17">
        <f t="shared" si="5"/>
        <v>-0.51446584148671848</v>
      </c>
    </row>
    <row r="59" spans="1:20" x14ac:dyDescent="0.3">
      <c r="A59" s="15">
        <v>55</v>
      </c>
      <c r="B59" s="15">
        <v>0</v>
      </c>
      <c r="C59" s="15">
        <v>4</v>
      </c>
      <c r="D59" s="15">
        <v>180</v>
      </c>
      <c r="E59" s="15">
        <v>327</v>
      </c>
      <c r="F59" s="15">
        <v>0</v>
      </c>
      <c r="G59" s="15">
        <v>1</v>
      </c>
      <c r="H59" s="15">
        <v>117</v>
      </c>
      <c r="I59" s="15">
        <v>1</v>
      </c>
      <c r="J59" s="15">
        <v>3.4</v>
      </c>
      <c r="K59" s="15">
        <v>2</v>
      </c>
      <c r="L59" s="15">
        <v>0</v>
      </c>
      <c r="M59" s="15">
        <v>3</v>
      </c>
      <c r="N59" s="15">
        <v>1</v>
      </c>
      <c r="O59" s="17">
        <f t="shared" si="0"/>
        <v>2.273149154418693</v>
      </c>
      <c r="P59" s="17">
        <f t="shared" si="1"/>
        <v>0.90662871499833486</v>
      </c>
      <c r="Q59" s="17">
        <f t="shared" si="2"/>
        <v>1</v>
      </c>
      <c r="R59" s="17">
        <f t="shared" si="6"/>
        <v>0</v>
      </c>
      <c r="S59" s="17">
        <f t="shared" si="7"/>
        <v>0.90662871499833486</v>
      </c>
      <c r="T59" s="17">
        <f t="shared" si="5"/>
        <v>-9.802226769401233E-2</v>
      </c>
    </row>
    <row r="60" spans="1:20" x14ac:dyDescent="0.3">
      <c r="A60" s="15">
        <v>49</v>
      </c>
      <c r="B60" s="15">
        <v>1</v>
      </c>
      <c r="C60" s="15">
        <v>3</v>
      </c>
      <c r="D60" s="15">
        <v>118</v>
      </c>
      <c r="E60" s="15">
        <v>149</v>
      </c>
      <c r="F60" s="15">
        <v>0</v>
      </c>
      <c r="G60" s="15">
        <v>2</v>
      </c>
      <c r="H60" s="15">
        <v>126</v>
      </c>
      <c r="I60" s="15">
        <v>0</v>
      </c>
      <c r="J60" s="15">
        <v>0.8</v>
      </c>
      <c r="K60" s="15">
        <v>1</v>
      </c>
      <c r="L60" s="15">
        <v>3</v>
      </c>
      <c r="M60" s="15">
        <v>3</v>
      </c>
      <c r="N60" s="15">
        <v>1</v>
      </c>
      <c r="O60" s="17">
        <f t="shared" si="0"/>
        <v>2.1477337740776292</v>
      </c>
      <c r="P60" s="17">
        <f t="shared" si="1"/>
        <v>0.89545681666847565</v>
      </c>
      <c r="Q60" s="17">
        <f t="shared" si="2"/>
        <v>1</v>
      </c>
      <c r="R60" s="17">
        <f t="shared" si="6"/>
        <v>0</v>
      </c>
      <c r="S60" s="17">
        <f t="shared" si="7"/>
        <v>0.89545681666847565</v>
      </c>
      <c r="T60" s="17">
        <f t="shared" si="5"/>
        <v>-0.11042128123655084</v>
      </c>
    </row>
    <row r="61" spans="1:20" x14ac:dyDescent="0.3">
      <c r="A61" s="15">
        <v>74</v>
      </c>
      <c r="B61" s="15">
        <v>0</v>
      </c>
      <c r="C61" s="15">
        <v>2</v>
      </c>
      <c r="D61" s="15">
        <v>120</v>
      </c>
      <c r="E61" s="15">
        <v>269</v>
      </c>
      <c r="F61" s="15">
        <v>0</v>
      </c>
      <c r="G61" s="15">
        <v>2</v>
      </c>
      <c r="H61" s="15">
        <v>121</v>
      </c>
      <c r="I61" s="15">
        <v>1</v>
      </c>
      <c r="J61" s="15">
        <v>0.2</v>
      </c>
      <c r="K61" s="15">
        <v>1</v>
      </c>
      <c r="L61" s="15">
        <v>1</v>
      </c>
      <c r="M61" s="15">
        <v>3</v>
      </c>
      <c r="N61" s="15">
        <v>0</v>
      </c>
      <c r="O61" s="17">
        <f t="shared" si="0"/>
        <v>-1.6293563956957016</v>
      </c>
      <c r="P61" s="17">
        <f t="shared" si="1"/>
        <v>0.16391854763723676</v>
      </c>
      <c r="Q61" s="17">
        <f t="shared" si="2"/>
        <v>0</v>
      </c>
      <c r="R61" s="17">
        <f t="shared" si="6"/>
        <v>0</v>
      </c>
      <c r="S61" s="17">
        <f t="shared" si="7"/>
        <v>0.83608145236276321</v>
      </c>
      <c r="T61" s="17">
        <f t="shared" si="5"/>
        <v>-0.17902923958759562</v>
      </c>
    </row>
    <row r="62" spans="1:20" x14ac:dyDescent="0.3">
      <c r="A62" s="15">
        <v>52</v>
      </c>
      <c r="B62" s="15">
        <v>1</v>
      </c>
      <c r="C62" s="15">
        <v>4</v>
      </c>
      <c r="D62" s="15">
        <v>125</v>
      </c>
      <c r="E62" s="15">
        <v>212</v>
      </c>
      <c r="F62" s="15">
        <v>0</v>
      </c>
      <c r="G62" s="15">
        <v>0</v>
      </c>
      <c r="H62" s="15">
        <v>168</v>
      </c>
      <c r="I62" s="15">
        <v>0</v>
      </c>
      <c r="J62" s="15">
        <v>1</v>
      </c>
      <c r="K62" s="15">
        <v>1</v>
      </c>
      <c r="L62" s="15">
        <v>2</v>
      </c>
      <c r="M62" s="15">
        <v>7</v>
      </c>
      <c r="N62" s="15">
        <v>1</v>
      </c>
      <c r="O62" s="17">
        <f t="shared" si="0"/>
        <v>1.8100574264557547</v>
      </c>
      <c r="P62" s="17">
        <f t="shared" si="1"/>
        <v>0.8593688146291405</v>
      </c>
      <c r="Q62" s="17">
        <f t="shared" si="2"/>
        <v>1</v>
      </c>
      <c r="R62" s="17">
        <f t="shared" si="6"/>
        <v>0</v>
      </c>
      <c r="S62" s="17">
        <f t="shared" si="7"/>
        <v>0.8593688146291405</v>
      </c>
      <c r="T62" s="17">
        <f t="shared" si="5"/>
        <v>-0.15155709567555792</v>
      </c>
    </row>
    <row r="63" spans="1:20" x14ac:dyDescent="0.3">
      <c r="A63" s="15">
        <v>57</v>
      </c>
      <c r="B63" s="15">
        <v>1</v>
      </c>
      <c r="C63" s="15">
        <v>4</v>
      </c>
      <c r="D63" s="15">
        <v>110</v>
      </c>
      <c r="E63" s="15">
        <v>201</v>
      </c>
      <c r="F63" s="15">
        <v>0</v>
      </c>
      <c r="G63" s="15">
        <v>0</v>
      </c>
      <c r="H63" s="15">
        <v>126</v>
      </c>
      <c r="I63" s="15">
        <v>1</v>
      </c>
      <c r="J63" s="15">
        <v>1.5</v>
      </c>
      <c r="K63" s="15">
        <v>2</v>
      </c>
      <c r="L63" s="15">
        <v>0</v>
      </c>
      <c r="M63" s="15">
        <v>6</v>
      </c>
      <c r="N63" s="15">
        <v>0</v>
      </c>
      <c r="O63" s="17">
        <f t="shared" si="0"/>
        <v>0.73572531589071666</v>
      </c>
      <c r="P63" s="17">
        <f t="shared" si="1"/>
        <v>0.67606039417182073</v>
      </c>
      <c r="Q63" s="17">
        <f t="shared" si="2"/>
        <v>1</v>
      </c>
      <c r="R63" s="17">
        <f t="shared" si="6"/>
        <v>1</v>
      </c>
      <c r="S63" s="17">
        <f t="shared" si="7"/>
        <v>0.32393960582817927</v>
      </c>
      <c r="T63" s="17">
        <f t="shared" si="5"/>
        <v>-1.1271981823296546</v>
      </c>
    </row>
    <row r="64" spans="1:20" x14ac:dyDescent="0.3">
      <c r="A64" s="15">
        <v>61</v>
      </c>
      <c r="B64" s="15">
        <v>1</v>
      </c>
      <c r="C64" s="15">
        <v>4</v>
      </c>
      <c r="D64" s="15">
        <v>138</v>
      </c>
      <c r="E64" s="15">
        <v>166</v>
      </c>
      <c r="F64" s="15">
        <v>0</v>
      </c>
      <c r="G64" s="15">
        <v>2</v>
      </c>
      <c r="H64" s="15">
        <v>125</v>
      </c>
      <c r="I64" s="15">
        <v>1</v>
      </c>
      <c r="J64" s="15">
        <v>3.6</v>
      </c>
      <c r="K64" s="15">
        <v>2</v>
      </c>
      <c r="L64" s="15">
        <v>1</v>
      </c>
      <c r="M64" s="15">
        <v>3</v>
      </c>
      <c r="N64" s="15">
        <v>1</v>
      </c>
      <c r="O64" s="17">
        <f t="shared" si="0"/>
        <v>2.9437117842410494</v>
      </c>
      <c r="P64" s="17">
        <f t="shared" si="1"/>
        <v>0.94996544693550067</v>
      </c>
      <c r="Q64" s="17">
        <f t="shared" si="2"/>
        <v>1</v>
      </c>
      <c r="R64" s="17">
        <f t="shared" si="6"/>
        <v>0</v>
      </c>
      <c r="S64" s="17">
        <f t="shared" si="7"/>
        <v>0.94996544693550067</v>
      </c>
      <c r="T64" s="17">
        <f t="shared" si="5"/>
        <v>-5.132966669585632E-2</v>
      </c>
    </row>
    <row r="65" spans="1:20" x14ac:dyDescent="0.3">
      <c r="A65" s="15">
        <v>59</v>
      </c>
      <c r="B65" s="15">
        <v>1</v>
      </c>
      <c r="C65" s="15">
        <v>3</v>
      </c>
      <c r="D65" s="15">
        <v>126</v>
      </c>
      <c r="E65" s="15">
        <v>218</v>
      </c>
      <c r="F65" s="15">
        <v>1</v>
      </c>
      <c r="G65" s="15">
        <v>0</v>
      </c>
      <c r="H65" s="15">
        <v>134</v>
      </c>
      <c r="I65" s="15">
        <v>0</v>
      </c>
      <c r="J65" s="15">
        <v>2.2000000000000002</v>
      </c>
      <c r="K65" s="15">
        <v>2</v>
      </c>
      <c r="L65" s="15">
        <v>1</v>
      </c>
      <c r="M65" s="15">
        <v>6</v>
      </c>
      <c r="N65" s="15">
        <v>1</v>
      </c>
      <c r="O65" s="17">
        <f t="shared" si="0"/>
        <v>0.58177076205481448</v>
      </c>
      <c r="P65" s="17">
        <f t="shared" si="1"/>
        <v>0.64147475679909249</v>
      </c>
      <c r="Q65" s="17">
        <f t="shared" si="2"/>
        <v>1</v>
      </c>
      <c r="R65" s="17">
        <f t="shared" si="6"/>
        <v>0</v>
      </c>
      <c r="S65" s="17">
        <f t="shared" si="7"/>
        <v>0.64147475679909249</v>
      </c>
      <c r="T65" s="17">
        <f t="shared" si="5"/>
        <v>-0.44398544597490108</v>
      </c>
    </row>
    <row r="66" spans="1:20" x14ac:dyDescent="0.3">
      <c r="A66" s="15">
        <v>42</v>
      </c>
      <c r="B66" s="15">
        <v>1</v>
      </c>
      <c r="C66" s="15">
        <v>3</v>
      </c>
      <c r="D66" s="15">
        <v>130</v>
      </c>
      <c r="E66" s="15">
        <v>180</v>
      </c>
      <c r="F66" s="15">
        <v>0</v>
      </c>
      <c r="G66" s="15">
        <v>0</v>
      </c>
      <c r="H66" s="15">
        <v>150</v>
      </c>
      <c r="I66" s="15">
        <v>0</v>
      </c>
      <c r="J66" s="15">
        <v>0</v>
      </c>
      <c r="K66" s="15">
        <v>1</v>
      </c>
      <c r="L66" s="15">
        <v>0</v>
      </c>
      <c r="M66" s="15">
        <v>3</v>
      </c>
      <c r="N66" s="15">
        <v>0</v>
      </c>
      <c r="O66" s="17">
        <f t="shared" si="0"/>
        <v>-2.707520515096685</v>
      </c>
      <c r="P66" s="17">
        <f t="shared" si="1"/>
        <v>6.2531043482603424E-2</v>
      </c>
      <c r="Q66" s="17">
        <f t="shared" si="2"/>
        <v>0</v>
      </c>
      <c r="R66" s="17">
        <f t="shared" si="6"/>
        <v>0</v>
      </c>
      <c r="S66" s="17">
        <f t="shared" si="7"/>
        <v>0.93746895651739659</v>
      </c>
      <c r="T66" s="17">
        <f t="shared" si="5"/>
        <v>-6.4571634733930558E-2</v>
      </c>
    </row>
    <row r="67" spans="1:20" x14ac:dyDescent="0.3">
      <c r="A67" s="15">
        <v>58</v>
      </c>
      <c r="B67" s="15">
        <v>1</v>
      </c>
      <c r="C67" s="15">
        <v>4</v>
      </c>
      <c r="D67" s="15">
        <v>114</v>
      </c>
      <c r="E67" s="15">
        <v>318</v>
      </c>
      <c r="F67" s="15">
        <v>0</v>
      </c>
      <c r="G67" s="15">
        <v>1</v>
      </c>
      <c r="H67" s="15">
        <v>140</v>
      </c>
      <c r="I67" s="15">
        <v>0</v>
      </c>
      <c r="J67" s="15">
        <v>4.4000000000000004</v>
      </c>
      <c r="K67" s="15">
        <v>3</v>
      </c>
      <c r="L67" s="15">
        <v>3</v>
      </c>
      <c r="M67" s="15">
        <v>6</v>
      </c>
      <c r="N67" s="15">
        <v>1</v>
      </c>
      <c r="O67" s="17">
        <f t="shared" si="0"/>
        <v>6.0818625563830953</v>
      </c>
      <c r="P67" s="17">
        <f t="shared" si="1"/>
        <v>0.99772128563708129</v>
      </c>
      <c r="Q67" s="17">
        <f t="shared" si="2"/>
        <v>1</v>
      </c>
      <c r="R67" s="17">
        <f t="shared" si="6"/>
        <v>0</v>
      </c>
      <c r="S67" s="17">
        <f t="shared" si="7"/>
        <v>0.99772128563708129</v>
      </c>
      <c r="T67" s="17">
        <f t="shared" si="5"/>
        <v>-2.2813145833500349E-3</v>
      </c>
    </row>
    <row r="68" spans="1:20" x14ac:dyDescent="0.3">
      <c r="A68" s="15">
        <v>57</v>
      </c>
      <c r="B68" s="15">
        <v>0</v>
      </c>
      <c r="C68" s="15">
        <v>4</v>
      </c>
      <c r="D68" s="15">
        <v>140</v>
      </c>
      <c r="E68" s="15">
        <v>241</v>
      </c>
      <c r="F68" s="15">
        <v>0</v>
      </c>
      <c r="G68" s="15">
        <v>0</v>
      </c>
      <c r="H68" s="15">
        <v>123</v>
      </c>
      <c r="I68" s="15">
        <v>1</v>
      </c>
      <c r="J68" s="15">
        <v>0.2</v>
      </c>
      <c r="K68" s="15">
        <v>2</v>
      </c>
      <c r="L68" s="15">
        <v>0</v>
      </c>
      <c r="M68" s="15">
        <v>7</v>
      </c>
      <c r="N68" s="15">
        <v>1</v>
      </c>
      <c r="O68" s="17">
        <f t="shared" si="0"/>
        <v>0.92161590467322263</v>
      </c>
      <c r="P68" s="17">
        <f t="shared" si="1"/>
        <v>0.71537124297350618</v>
      </c>
      <c r="Q68" s="17">
        <f t="shared" si="2"/>
        <v>1</v>
      </c>
      <c r="R68" s="17">
        <f t="shared" si="6"/>
        <v>0</v>
      </c>
      <c r="S68" s="17">
        <f t="shared" si="7"/>
        <v>0.71537124297350618</v>
      </c>
      <c r="T68" s="17">
        <f t="shared" si="5"/>
        <v>-0.33495365009471517</v>
      </c>
    </row>
    <row r="69" spans="1:20" x14ac:dyDescent="0.3">
      <c r="A69" s="15">
        <v>68</v>
      </c>
      <c r="B69" s="15">
        <v>1</v>
      </c>
      <c r="C69" s="15">
        <v>4</v>
      </c>
      <c r="D69" s="15">
        <v>144</v>
      </c>
      <c r="E69" s="15">
        <v>193</v>
      </c>
      <c r="F69" s="15">
        <v>1</v>
      </c>
      <c r="G69" s="15">
        <v>0</v>
      </c>
      <c r="H69" s="15">
        <v>141</v>
      </c>
      <c r="I69" s="15">
        <v>0</v>
      </c>
      <c r="J69" s="15">
        <v>3.4</v>
      </c>
      <c r="K69" s="15">
        <v>2</v>
      </c>
      <c r="L69" s="15">
        <v>2</v>
      </c>
      <c r="M69" s="15">
        <v>7</v>
      </c>
      <c r="N69" s="15">
        <v>1</v>
      </c>
      <c r="O69" s="17">
        <f t="shared" si="0"/>
        <v>3.6439632359987701</v>
      </c>
      <c r="P69" s="17">
        <f t="shared" si="1"/>
        <v>0.97451781541242244</v>
      </c>
      <c r="Q69" s="17">
        <f t="shared" si="2"/>
        <v>1</v>
      </c>
      <c r="R69" s="17">
        <f t="shared" si="6"/>
        <v>0</v>
      </c>
      <c r="S69" s="17">
        <f t="shared" si="7"/>
        <v>0.97451781541242244</v>
      </c>
      <c r="T69" s="17">
        <f t="shared" si="5"/>
        <v>-2.5812478608582747E-2</v>
      </c>
    </row>
    <row r="70" spans="1:20" x14ac:dyDescent="0.3">
      <c r="A70" s="15">
        <v>57</v>
      </c>
      <c r="B70" s="15">
        <v>0</v>
      </c>
      <c r="C70" s="15">
        <v>2</v>
      </c>
      <c r="D70" s="15">
        <v>130</v>
      </c>
      <c r="E70" s="15">
        <v>236</v>
      </c>
      <c r="F70" s="15">
        <v>0</v>
      </c>
      <c r="G70" s="15">
        <v>2</v>
      </c>
      <c r="H70" s="15">
        <v>174</v>
      </c>
      <c r="I70" s="15">
        <v>0</v>
      </c>
      <c r="J70" s="15">
        <v>0</v>
      </c>
      <c r="K70" s="15">
        <v>2</v>
      </c>
      <c r="L70" s="15">
        <v>1</v>
      </c>
      <c r="M70" s="15">
        <v>3</v>
      </c>
      <c r="N70" s="15">
        <v>1</v>
      </c>
      <c r="O70" s="17">
        <f t="shared" si="0"/>
        <v>-2.2456557515118911</v>
      </c>
      <c r="P70" s="17">
        <f t="shared" si="1"/>
        <v>9.5724850144121729E-2</v>
      </c>
      <c r="Q70" s="17">
        <f t="shared" si="2"/>
        <v>0</v>
      </c>
      <c r="R70" s="17">
        <f t="shared" si="6"/>
        <v>1</v>
      </c>
      <c r="S70" s="17">
        <f t="shared" si="7"/>
        <v>9.5724850144121729E-2</v>
      </c>
      <c r="T70" s="17">
        <f t="shared" si="5"/>
        <v>-2.3462773471031935</v>
      </c>
    </row>
    <row r="71" spans="1:20" x14ac:dyDescent="0.3">
      <c r="A71" s="15">
        <v>56</v>
      </c>
      <c r="B71" s="15">
        <v>1</v>
      </c>
      <c r="C71" s="15">
        <v>2</v>
      </c>
      <c r="D71" s="15">
        <v>120</v>
      </c>
      <c r="E71" s="15">
        <v>236</v>
      </c>
      <c r="F71" s="15">
        <v>0</v>
      </c>
      <c r="G71" s="15">
        <v>0</v>
      </c>
      <c r="H71" s="15">
        <v>178</v>
      </c>
      <c r="I71" s="15">
        <v>0</v>
      </c>
      <c r="J71" s="15">
        <v>0.8</v>
      </c>
      <c r="K71" s="15">
        <v>1</v>
      </c>
      <c r="L71" s="15">
        <v>0</v>
      </c>
      <c r="M71" s="15">
        <v>3</v>
      </c>
      <c r="N71" s="15">
        <v>0</v>
      </c>
      <c r="O71" s="17">
        <f t="shared" ref="O71:O134" si="8">SUMPRODUCT(A$4:M$4, A71:M71)+N$4</f>
        <v>-4.2761323313506843</v>
      </c>
      <c r="P71" s="17">
        <f t="shared" ref="P71:P134" si="9">1/(1+EXP(0-O71))</f>
        <v>1.3705844002629331E-2</v>
      </c>
      <c r="Q71" s="17">
        <f t="shared" ref="Q71:Q134" si="10">IF(P71&lt;=0.5, 0, 1)</f>
        <v>0</v>
      </c>
      <c r="R71" s="17">
        <f t="shared" si="6"/>
        <v>0</v>
      </c>
      <c r="S71" s="17">
        <f t="shared" si="7"/>
        <v>0.98629415599737069</v>
      </c>
      <c r="T71" s="17">
        <f t="shared" ref="T71:T134" si="11">IF(S71=0, -100000, LN(S71))</f>
        <v>-1.3800636217305054E-2</v>
      </c>
    </row>
    <row r="72" spans="1:20" x14ac:dyDescent="0.3">
      <c r="A72" s="15">
        <v>62</v>
      </c>
      <c r="B72" s="15">
        <v>0</v>
      </c>
      <c r="C72" s="15">
        <v>4</v>
      </c>
      <c r="D72" s="15">
        <v>140</v>
      </c>
      <c r="E72" s="15">
        <v>268</v>
      </c>
      <c r="F72" s="15">
        <v>0</v>
      </c>
      <c r="G72" s="15">
        <v>2</v>
      </c>
      <c r="H72" s="15">
        <v>160</v>
      </c>
      <c r="I72" s="15">
        <v>0</v>
      </c>
      <c r="J72" s="15">
        <v>3.6</v>
      </c>
      <c r="K72" s="15">
        <v>3</v>
      </c>
      <c r="L72" s="15">
        <v>2</v>
      </c>
      <c r="M72" s="15">
        <v>3</v>
      </c>
      <c r="N72" s="15">
        <v>1</v>
      </c>
      <c r="O72" s="17">
        <f t="shared" si="8"/>
        <v>3.1294246963001235</v>
      </c>
      <c r="P72" s="17">
        <f t="shared" si="9"/>
        <v>0.95809029869959306</v>
      </c>
      <c r="Q72" s="17">
        <f t="shared" si="10"/>
        <v>1</v>
      </c>
      <c r="R72" s="17">
        <f t="shared" si="6"/>
        <v>0</v>
      </c>
      <c r="S72" s="17">
        <f t="shared" si="7"/>
        <v>0.95809029869959306</v>
      </c>
      <c r="T72" s="17">
        <f t="shared" si="11"/>
        <v>-4.2813247938004138E-2</v>
      </c>
    </row>
    <row r="73" spans="1:20" x14ac:dyDescent="0.3">
      <c r="A73" s="15">
        <v>57</v>
      </c>
      <c r="B73" s="15">
        <v>1</v>
      </c>
      <c r="C73" s="15">
        <v>3</v>
      </c>
      <c r="D73" s="15">
        <v>150</v>
      </c>
      <c r="E73" s="15">
        <v>168</v>
      </c>
      <c r="F73" s="15">
        <v>0</v>
      </c>
      <c r="G73" s="15">
        <v>0</v>
      </c>
      <c r="H73" s="15">
        <v>174</v>
      </c>
      <c r="I73" s="15">
        <v>0</v>
      </c>
      <c r="J73" s="15">
        <v>1.6</v>
      </c>
      <c r="K73" s="15">
        <v>1</v>
      </c>
      <c r="L73" s="15">
        <v>0</v>
      </c>
      <c r="M73" s="15">
        <v>3</v>
      </c>
      <c r="N73" s="15">
        <v>0</v>
      </c>
      <c r="O73" s="17">
        <f t="shared" si="8"/>
        <v>-2.4271280688385355</v>
      </c>
      <c r="P73" s="17">
        <f t="shared" si="9"/>
        <v>8.1127299840450293E-2</v>
      </c>
      <c r="Q73" s="17">
        <f t="shared" si="10"/>
        <v>0</v>
      </c>
      <c r="R73" s="17">
        <f t="shared" si="6"/>
        <v>0</v>
      </c>
      <c r="S73" s="17">
        <f t="shared" si="7"/>
        <v>0.91887270015954969</v>
      </c>
      <c r="T73" s="17">
        <f t="shared" si="11"/>
        <v>-8.4607686178189728E-2</v>
      </c>
    </row>
    <row r="74" spans="1:20" x14ac:dyDescent="0.3">
      <c r="A74" s="15">
        <v>54</v>
      </c>
      <c r="B74" s="15">
        <v>1</v>
      </c>
      <c r="C74" s="15">
        <v>4</v>
      </c>
      <c r="D74" s="15">
        <v>140</v>
      </c>
      <c r="E74" s="15">
        <v>239</v>
      </c>
      <c r="F74" s="15">
        <v>0</v>
      </c>
      <c r="G74" s="15">
        <v>0</v>
      </c>
      <c r="H74" s="15">
        <v>160</v>
      </c>
      <c r="I74" s="15">
        <v>0</v>
      </c>
      <c r="J74" s="15">
        <v>1.2</v>
      </c>
      <c r="K74" s="15">
        <v>1</v>
      </c>
      <c r="L74" s="15">
        <v>0</v>
      </c>
      <c r="M74" s="15">
        <v>3</v>
      </c>
      <c r="N74" s="15">
        <v>0</v>
      </c>
      <c r="O74" s="17">
        <f t="shared" si="8"/>
        <v>-1.4911029538738463</v>
      </c>
      <c r="P74" s="17">
        <f t="shared" si="9"/>
        <v>0.18375623779077827</v>
      </c>
      <c r="Q74" s="17">
        <f t="shared" si="10"/>
        <v>0</v>
      </c>
      <c r="R74" s="17">
        <f t="shared" si="6"/>
        <v>0</v>
      </c>
      <c r="S74" s="17">
        <f t="shared" si="7"/>
        <v>0.81624376220922179</v>
      </c>
      <c r="T74" s="17">
        <f t="shared" si="11"/>
        <v>-0.20304224043083829</v>
      </c>
    </row>
    <row r="75" spans="1:20" x14ac:dyDescent="0.3">
      <c r="A75" s="15">
        <v>48</v>
      </c>
      <c r="B75" s="15">
        <v>0</v>
      </c>
      <c r="C75" s="15">
        <v>3</v>
      </c>
      <c r="D75" s="15">
        <v>130</v>
      </c>
      <c r="E75" s="15">
        <v>275</v>
      </c>
      <c r="F75" s="15">
        <v>0</v>
      </c>
      <c r="G75" s="15">
        <v>0</v>
      </c>
      <c r="H75" s="15">
        <v>139</v>
      </c>
      <c r="I75" s="15">
        <v>0</v>
      </c>
      <c r="J75" s="15">
        <v>0.2</v>
      </c>
      <c r="K75" s="15">
        <v>1</v>
      </c>
      <c r="L75" s="15">
        <v>0</v>
      </c>
      <c r="M75" s="15">
        <v>3</v>
      </c>
      <c r="N75" s="15">
        <v>0</v>
      </c>
      <c r="O75" s="17">
        <f t="shared" si="8"/>
        <v>-3.1749235260528543</v>
      </c>
      <c r="P75" s="17">
        <f t="shared" si="9"/>
        <v>4.012037692217809E-2</v>
      </c>
      <c r="Q75" s="17">
        <f t="shared" si="10"/>
        <v>0</v>
      </c>
      <c r="R75" s="17">
        <f t="shared" si="6"/>
        <v>0</v>
      </c>
      <c r="S75" s="17">
        <f t="shared" si="7"/>
        <v>0.95987962307782193</v>
      </c>
      <c r="T75" s="17">
        <f t="shared" si="11"/>
        <v>-4.0947395009836698E-2</v>
      </c>
    </row>
    <row r="76" spans="1:20" x14ac:dyDescent="0.3">
      <c r="A76" s="15">
        <v>58</v>
      </c>
      <c r="B76" s="15">
        <v>0</v>
      </c>
      <c r="C76" s="15">
        <v>1</v>
      </c>
      <c r="D76" s="15">
        <v>150</v>
      </c>
      <c r="E76" s="15">
        <v>283</v>
      </c>
      <c r="F76" s="15">
        <v>1</v>
      </c>
      <c r="G76" s="15">
        <v>2</v>
      </c>
      <c r="H76" s="15">
        <v>162</v>
      </c>
      <c r="I76" s="15">
        <v>0</v>
      </c>
      <c r="J76" s="15">
        <v>1</v>
      </c>
      <c r="K76" s="15">
        <v>1</v>
      </c>
      <c r="L76" s="15">
        <v>0</v>
      </c>
      <c r="M76" s="15">
        <v>3</v>
      </c>
      <c r="N76" s="15">
        <v>0</v>
      </c>
      <c r="O76" s="17">
        <f t="shared" si="8"/>
        <v>-4.6385586787528421</v>
      </c>
      <c r="P76" s="17">
        <f t="shared" si="9"/>
        <v>9.578983151677772E-3</v>
      </c>
      <c r="Q76" s="17">
        <f t="shared" si="10"/>
        <v>0</v>
      </c>
      <c r="R76" s="17">
        <f t="shared" si="6"/>
        <v>0</v>
      </c>
      <c r="S76" s="17">
        <f t="shared" si="7"/>
        <v>0.99042101684832218</v>
      </c>
      <c r="T76" s="17">
        <f t="shared" si="11"/>
        <v>-9.6251567112050056E-3</v>
      </c>
    </row>
    <row r="77" spans="1:20" x14ac:dyDescent="0.3">
      <c r="A77" s="15">
        <v>58</v>
      </c>
      <c r="B77" s="15">
        <v>1</v>
      </c>
      <c r="C77" s="15">
        <v>2</v>
      </c>
      <c r="D77" s="15">
        <v>120</v>
      </c>
      <c r="E77" s="15">
        <v>284</v>
      </c>
      <c r="F77" s="15">
        <v>0</v>
      </c>
      <c r="G77" s="15">
        <v>2</v>
      </c>
      <c r="H77" s="15">
        <v>160</v>
      </c>
      <c r="I77" s="15">
        <v>0</v>
      </c>
      <c r="J77" s="15">
        <v>1.8</v>
      </c>
      <c r="K77" s="15">
        <v>2</v>
      </c>
      <c r="L77" s="15">
        <v>0</v>
      </c>
      <c r="M77" s="15">
        <v>3</v>
      </c>
      <c r="N77" s="15">
        <v>1</v>
      </c>
      <c r="O77" s="17">
        <f t="shared" si="8"/>
        <v>-2.2386509084590864</v>
      </c>
      <c r="P77" s="17">
        <f t="shared" si="9"/>
        <v>9.6332920086137239E-2</v>
      </c>
      <c r="Q77" s="17">
        <f t="shared" si="10"/>
        <v>0</v>
      </c>
      <c r="R77" s="17">
        <f t="shared" si="6"/>
        <v>1</v>
      </c>
      <c r="S77" s="17">
        <f t="shared" si="7"/>
        <v>9.6332920086137239E-2</v>
      </c>
      <c r="T77" s="17">
        <f t="shared" si="11"/>
        <v>-2.3399451693102971</v>
      </c>
    </row>
    <row r="78" spans="1:20" x14ac:dyDescent="0.3">
      <c r="A78" s="15">
        <v>58</v>
      </c>
      <c r="B78" s="15">
        <v>1</v>
      </c>
      <c r="C78" s="15">
        <v>3</v>
      </c>
      <c r="D78" s="15">
        <v>132</v>
      </c>
      <c r="E78" s="15">
        <v>224</v>
      </c>
      <c r="F78" s="15">
        <v>0</v>
      </c>
      <c r="G78" s="15">
        <v>2</v>
      </c>
      <c r="H78" s="15">
        <v>173</v>
      </c>
      <c r="I78" s="15">
        <v>0</v>
      </c>
      <c r="J78" s="15">
        <v>3.2</v>
      </c>
      <c r="K78" s="15">
        <v>1</v>
      </c>
      <c r="L78" s="15">
        <v>2</v>
      </c>
      <c r="M78" s="15">
        <v>7</v>
      </c>
      <c r="N78" s="15">
        <v>1</v>
      </c>
      <c r="O78" s="17">
        <f t="shared" si="8"/>
        <v>2.0287640418913089</v>
      </c>
      <c r="P78" s="17">
        <f t="shared" si="9"/>
        <v>0.88378419325587165</v>
      </c>
      <c r="Q78" s="17">
        <f t="shared" si="10"/>
        <v>1</v>
      </c>
      <c r="R78" s="17">
        <f t="shared" si="6"/>
        <v>0</v>
      </c>
      <c r="S78" s="17">
        <f t="shared" si="7"/>
        <v>0.88378419325587165</v>
      </c>
      <c r="T78" s="17">
        <f t="shared" si="11"/>
        <v>-0.12354237142408275</v>
      </c>
    </row>
    <row r="79" spans="1:20" x14ac:dyDescent="0.3">
      <c r="A79" s="15">
        <v>40</v>
      </c>
      <c r="B79" s="15">
        <v>1</v>
      </c>
      <c r="C79" s="15">
        <v>4</v>
      </c>
      <c r="D79" s="15">
        <v>110</v>
      </c>
      <c r="E79" s="15">
        <v>167</v>
      </c>
      <c r="F79" s="15">
        <v>0</v>
      </c>
      <c r="G79" s="15">
        <v>2</v>
      </c>
      <c r="H79" s="15">
        <v>114</v>
      </c>
      <c r="I79" s="15">
        <v>1</v>
      </c>
      <c r="J79" s="15">
        <v>2</v>
      </c>
      <c r="K79" s="15">
        <v>2</v>
      </c>
      <c r="L79" s="15">
        <v>0</v>
      </c>
      <c r="M79" s="15">
        <v>7</v>
      </c>
      <c r="N79" s="15">
        <v>1</v>
      </c>
      <c r="O79" s="17">
        <f t="shared" si="8"/>
        <v>1.989510746110664</v>
      </c>
      <c r="P79" s="17">
        <f t="shared" si="9"/>
        <v>0.87969136722647068</v>
      </c>
      <c r="Q79" s="17">
        <f t="shared" si="10"/>
        <v>1</v>
      </c>
      <c r="R79" s="17">
        <f t="shared" si="6"/>
        <v>0</v>
      </c>
      <c r="S79" s="17">
        <f t="shared" si="7"/>
        <v>0.87969136722647068</v>
      </c>
      <c r="T79" s="17">
        <f t="shared" si="11"/>
        <v>-0.12818415208702721</v>
      </c>
    </row>
    <row r="80" spans="1:20" x14ac:dyDescent="0.3">
      <c r="A80" s="15">
        <v>60</v>
      </c>
      <c r="B80" s="15">
        <v>1</v>
      </c>
      <c r="C80" s="15">
        <v>4</v>
      </c>
      <c r="D80" s="15">
        <v>117</v>
      </c>
      <c r="E80" s="15">
        <v>230</v>
      </c>
      <c r="F80" s="15">
        <v>1</v>
      </c>
      <c r="G80" s="15">
        <v>0</v>
      </c>
      <c r="H80" s="15">
        <v>160</v>
      </c>
      <c r="I80" s="15">
        <v>1</v>
      </c>
      <c r="J80" s="15">
        <v>1.4</v>
      </c>
      <c r="K80" s="15">
        <v>1</v>
      </c>
      <c r="L80" s="15">
        <v>2</v>
      </c>
      <c r="M80" s="15">
        <v>7</v>
      </c>
      <c r="N80" s="15">
        <v>1</v>
      </c>
      <c r="O80" s="17">
        <f t="shared" si="8"/>
        <v>2.0089438483932387</v>
      </c>
      <c r="P80" s="17">
        <f t="shared" si="9"/>
        <v>0.88173293112902007</v>
      </c>
      <c r="Q80" s="17">
        <f t="shared" si="10"/>
        <v>1</v>
      </c>
      <c r="R80" s="17">
        <f t="shared" si="6"/>
        <v>0</v>
      </c>
      <c r="S80" s="17">
        <f t="shared" si="7"/>
        <v>0.88173293112902007</v>
      </c>
      <c r="T80" s="17">
        <f t="shared" si="11"/>
        <v>-0.12586606800171848</v>
      </c>
    </row>
    <row r="81" spans="1:20" x14ac:dyDescent="0.3">
      <c r="A81" s="15">
        <v>59</v>
      </c>
      <c r="B81" s="15">
        <v>1</v>
      </c>
      <c r="C81" s="15">
        <v>4</v>
      </c>
      <c r="D81" s="15">
        <v>135</v>
      </c>
      <c r="E81" s="15">
        <v>234</v>
      </c>
      <c r="F81" s="15">
        <v>0</v>
      </c>
      <c r="G81" s="15">
        <v>0</v>
      </c>
      <c r="H81" s="15">
        <v>161</v>
      </c>
      <c r="I81" s="15">
        <v>0</v>
      </c>
      <c r="J81" s="15">
        <v>0.5</v>
      </c>
      <c r="K81" s="15">
        <v>2</v>
      </c>
      <c r="L81" s="15">
        <v>0</v>
      </c>
      <c r="M81" s="15">
        <v>7</v>
      </c>
      <c r="N81" s="15">
        <v>0</v>
      </c>
      <c r="O81" s="17">
        <f t="shared" si="8"/>
        <v>0.17572239267702905</v>
      </c>
      <c r="P81" s="17">
        <f t="shared" si="9"/>
        <v>0.54381790407118713</v>
      </c>
      <c r="Q81" s="17">
        <f t="shared" si="10"/>
        <v>1</v>
      </c>
      <c r="R81" s="17">
        <f t="shared" si="6"/>
        <v>1</v>
      </c>
      <c r="S81" s="17">
        <f t="shared" si="7"/>
        <v>0.45618209592881287</v>
      </c>
      <c r="T81" s="17">
        <f t="shared" si="11"/>
        <v>-0.78486321600280251</v>
      </c>
    </row>
    <row r="82" spans="1:20" x14ac:dyDescent="0.3">
      <c r="A82" s="15">
        <v>44</v>
      </c>
      <c r="B82" s="15">
        <v>1</v>
      </c>
      <c r="C82" s="15">
        <v>3</v>
      </c>
      <c r="D82" s="15">
        <v>130</v>
      </c>
      <c r="E82" s="15">
        <v>233</v>
      </c>
      <c r="F82" s="15">
        <v>0</v>
      </c>
      <c r="G82" s="15">
        <v>0</v>
      </c>
      <c r="H82" s="15">
        <v>179</v>
      </c>
      <c r="I82" s="15">
        <v>1</v>
      </c>
      <c r="J82" s="15">
        <v>0.4</v>
      </c>
      <c r="K82" s="15">
        <v>1</v>
      </c>
      <c r="L82" s="15">
        <v>0</v>
      </c>
      <c r="M82" s="15">
        <v>3</v>
      </c>
      <c r="N82" s="15">
        <v>0</v>
      </c>
      <c r="O82" s="17">
        <f t="shared" si="8"/>
        <v>-2.3870780248835928</v>
      </c>
      <c r="P82" s="17">
        <f t="shared" si="9"/>
        <v>8.4163383981697287E-2</v>
      </c>
      <c r="Q82" s="17">
        <f t="shared" si="10"/>
        <v>0</v>
      </c>
      <c r="R82" s="17">
        <f t="shared" si="6"/>
        <v>0</v>
      </c>
      <c r="S82" s="17">
        <f t="shared" si="7"/>
        <v>0.91583661601830268</v>
      </c>
      <c r="T82" s="17">
        <f t="shared" si="11"/>
        <v>-8.7917297009500864E-2</v>
      </c>
    </row>
    <row r="83" spans="1:20" x14ac:dyDescent="0.3">
      <c r="A83" s="15">
        <v>65</v>
      </c>
      <c r="B83" s="15">
        <v>0</v>
      </c>
      <c r="C83" s="15">
        <v>4</v>
      </c>
      <c r="D83" s="15">
        <v>150</v>
      </c>
      <c r="E83" s="15">
        <v>225</v>
      </c>
      <c r="F83" s="15">
        <v>0</v>
      </c>
      <c r="G83" s="15">
        <v>2</v>
      </c>
      <c r="H83" s="15">
        <v>114</v>
      </c>
      <c r="I83" s="15">
        <v>0</v>
      </c>
      <c r="J83" s="15">
        <v>1</v>
      </c>
      <c r="K83" s="15">
        <v>2</v>
      </c>
      <c r="L83" s="15">
        <v>3</v>
      </c>
      <c r="M83" s="15">
        <v>7</v>
      </c>
      <c r="N83" s="15">
        <v>1</v>
      </c>
      <c r="O83" s="17">
        <f t="shared" si="8"/>
        <v>5.4359682590471969</v>
      </c>
      <c r="P83" s="17">
        <f t="shared" si="9"/>
        <v>0.9956618869607603</v>
      </c>
      <c r="Q83" s="17">
        <f t="shared" si="10"/>
        <v>1</v>
      </c>
      <c r="R83" s="17">
        <f t="shared" si="6"/>
        <v>0</v>
      </c>
      <c r="S83" s="17">
        <f t="shared" si="7"/>
        <v>0.9956618869607603</v>
      </c>
      <c r="T83" s="17">
        <f t="shared" si="11"/>
        <v>-4.3475499537675892E-3</v>
      </c>
    </row>
    <row r="84" spans="1:20" x14ac:dyDescent="0.3">
      <c r="A84" s="15">
        <v>51</v>
      </c>
      <c r="B84" s="15">
        <v>1</v>
      </c>
      <c r="C84" s="15">
        <v>3</v>
      </c>
      <c r="D84" s="15">
        <v>110</v>
      </c>
      <c r="E84" s="15">
        <v>175</v>
      </c>
      <c r="F84" s="15">
        <v>0</v>
      </c>
      <c r="G84" s="15">
        <v>0</v>
      </c>
      <c r="H84" s="15">
        <v>123</v>
      </c>
      <c r="I84" s="15">
        <v>0</v>
      </c>
      <c r="J84" s="15">
        <v>0.6</v>
      </c>
      <c r="K84" s="15">
        <v>1</v>
      </c>
      <c r="L84" s="15">
        <v>0</v>
      </c>
      <c r="M84" s="15">
        <v>3</v>
      </c>
      <c r="N84" s="15">
        <v>0</v>
      </c>
      <c r="O84" s="17">
        <f t="shared" si="8"/>
        <v>-2.7345360900182261</v>
      </c>
      <c r="P84" s="17">
        <f t="shared" si="9"/>
        <v>6.0965957952542491E-2</v>
      </c>
      <c r="Q84" s="17">
        <f t="shared" si="10"/>
        <v>0</v>
      </c>
      <c r="R84" s="17">
        <f t="shared" si="6"/>
        <v>0</v>
      </c>
      <c r="S84" s="17">
        <f t="shared" si="7"/>
        <v>0.93903404204745755</v>
      </c>
      <c r="T84" s="17">
        <f t="shared" si="11"/>
        <v>-6.2903546919347436E-2</v>
      </c>
    </row>
    <row r="85" spans="1:20" x14ac:dyDescent="0.3">
      <c r="A85" s="15">
        <v>65</v>
      </c>
      <c r="B85" s="15">
        <v>0</v>
      </c>
      <c r="C85" s="15">
        <v>3</v>
      </c>
      <c r="D85" s="15">
        <v>140</v>
      </c>
      <c r="E85" s="15">
        <v>417</v>
      </c>
      <c r="F85" s="15">
        <v>1</v>
      </c>
      <c r="G85" s="15">
        <v>2</v>
      </c>
      <c r="H85" s="15">
        <v>157</v>
      </c>
      <c r="I85" s="15">
        <v>0</v>
      </c>
      <c r="J85" s="15">
        <v>0.8</v>
      </c>
      <c r="K85" s="15">
        <v>1</v>
      </c>
      <c r="L85" s="15">
        <v>1</v>
      </c>
      <c r="M85" s="15">
        <v>3</v>
      </c>
      <c r="N85" s="15">
        <v>0</v>
      </c>
      <c r="O85" s="17">
        <f t="shared" si="8"/>
        <v>-1.564268799857679</v>
      </c>
      <c r="P85" s="17">
        <f t="shared" si="9"/>
        <v>0.17303495513316786</v>
      </c>
      <c r="Q85" s="17">
        <f t="shared" si="10"/>
        <v>0</v>
      </c>
      <c r="R85" s="17">
        <f t="shared" si="6"/>
        <v>0</v>
      </c>
      <c r="S85" s="17">
        <f t="shared" si="7"/>
        <v>0.8269650448668322</v>
      </c>
      <c r="T85" s="17">
        <f t="shared" si="11"/>
        <v>-0.18999285224371754</v>
      </c>
    </row>
    <row r="86" spans="1:20" x14ac:dyDescent="0.3">
      <c r="A86" s="15">
        <v>60</v>
      </c>
      <c r="B86" s="15">
        <v>1</v>
      </c>
      <c r="C86" s="15">
        <v>4</v>
      </c>
      <c r="D86" s="15">
        <v>130</v>
      </c>
      <c r="E86" s="15">
        <v>253</v>
      </c>
      <c r="F86" s="15">
        <v>0</v>
      </c>
      <c r="G86" s="15">
        <v>0</v>
      </c>
      <c r="H86" s="15">
        <v>144</v>
      </c>
      <c r="I86" s="15">
        <v>1</v>
      </c>
      <c r="J86" s="15">
        <v>1.4</v>
      </c>
      <c r="K86" s="15">
        <v>1</v>
      </c>
      <c r="L86" s="15">
        <v>1</v>
      </c>
      <c r="M86" s="15">
        <v>7</v>
      </c>
      <c r="N86" s="15">
        <v>1</v>
      </c>
      <c r="O86" s="17">
        <f t="shared" si="8"/>
        <v>1.898153857605676</v>
      </c>
      <c r="P86" s="17">
        <f t="shared" si="9"/>
        <v>0.86968243604004336</v>
      </c>
      <c r="Q86" s="17">
        <f t="shared" si="10"/>
        <v>1</v>
      </c>
      <c r="R86" s="17">
        <f t="shared" si="6"/>
        <v>0</v>
      </c>
      <c r="S86" s="17">
        <f t="shared" si="7"/>
        <v>0.86968243604004336</v>
      </c>
      <c r="T86" s="17">
        <f t="shared" si="11"/>
        <v>-0.13962715001400733</v>
      </c>
    </row>
    <row r="87" spans="1:20" x14ac:dyDescent="0.3">
      <c r="A87" s="15">
        <v>54</v>
      </c>
      <c r="B87" s="15">
        <v>1</v>
      </c>
      <c r="C87" s="15">
        <v>4</v>
      </c>
      <c r="D87" s="15">
        <v>124</v>
      </c>
      <c r="E87" s="15">
        <v>266</v>
      </c>
      <c r="F87" s="15">
        <v>0</v>
      </c>
      <c r="G87" s="15">
        <v>2</v>
      </c>
      <c r="H87" s="15">
        <v>109</v>
      </c>
      <c r="I87" s="15">
        <v>1</v>
      </c>
      <c r="J87" s="15">
        <v>2.2000000000000002</v>
      </c>
      <c r="K87" s="15">
        <v>2</v>
      </c>
      <c r="L87" s="15">
        <v>1</v>
      </c>
      <c r="M87" s="15">
        <v>7</v>
      </c>
      <c r="N87" s="15">
        <v>1</v>
      </c>
      <c r="O87" s="17">
        <f t="shared" si="8"/>
        <v>4.0654833818046949</v>
      </c>
      <c r="P87" s="17">
        <f t="shared" si="9"/>
        <v>0.9831346253564146</v>
      </c>
      <c r="Q87" s="17">
        <f t="shared" si="10"/>
        <v>1</v>
      </c>
      <c r="R87" s="17">
        <f t="shared" si="6"/>
        <v>0</v>
      </c>
      <c r="S87" s="17">
        <f t="shared" si="7"/>
        <v>0.9831346253564146</v>
      </c>
      <c r="T87" s="17">
        <f t="shared" si="11"/>
        <v>-1.7009214645199576E-2</v>
      </c>
    </row>
    <row r="88" spans="1:20" x14ac:dyDescent="0.3">
      <c r="A88" s="15">
        <v>50</v>
      </c>
      <c r="B88" s="15">
        <v>1</v>
      </c>
      <c r="C88" s="15">
        <v>3</v>
      </c>
      <c r="D88" s="15">
        <v>140</v>
      </c>
      <c r="E88" s="15">
        <v>233</v>
      </c>
      <c r="F88" s="15">
        <v>0</v>
      </c>
      <c r="G88" s="15">
        <v>0</v>
      </c>
      <c r="H88" s="15">
        <v>163</v>
      </c>
      <c r="I88" s="15">
        <v>0</v>
      </c>
      <c r="J88" s="15">
        <v>0.6</v>
      </c>
      <c r="K88" s="15">
        <v>2</v>
      </c>
      <c r="L88" s="15">
        <v>1</v>
      </c>
      <c r="M88" s="15">
        <v>7</v>
      </c>
      <c r="N88" s="15">
        <v>1</v>
      </c>
      <c r="O88" s="17">
        <f t="shared" si="8"/>
        <v>0.98077527980873924</v>
      </c>
      <c r="P88" s="17">
        <f t="shared" si="9"/>
        <v>0.72726202171271703</v>
      </c>
      <c r="Q88" s="17">
        <f t="shared" si="10"/>
        <v>1</v>
      </c>
      <c r="R88" s="17">
        <f t="shared" ref="R88:R151" si="12">IF(N88=Q88, 0, 1)</f>
        <v>0</v>
      </c>
      <c r="S88" s="17">
        <f t="shared" ref="S88:S151" si="13">IF(N88=1, P88, 1-P88)</f>
        <v>0.72726202171271703</v>
      </c>
      <c r="T88" s="17">
        <f t="shared" si="11"/>
        <v>-0.31846845137189111</v>
      </c>
    </row>
    <row r="89" spans="1:20" x14ac:dyDescent="0.3">
      <c r="A89" s="15">
        <v>54</v>
      </c>
      <c r="B89" s="15">
        <v>1</v>
      </c>
      <c r="C89" s="15">
        <v>3</v>
      </c>
      <c r="D89" s="15">
        <v>125</v>
      </c>
      <c r="E89" s="15">
        <v>273</v>
      </c>
      <c r="F89" s="15">
        <v>0</v>
      </c>
      <c r="G89" s="15">
        <v>2</v>
      </c>
      <c r="H89" s="15">
        <v>152</v>
      </c>
      <c r="I89" s="15">
        <v>0</v>
      </c>
      <c r="J89" s="15">
        <v>0.5</v>
      </c>
      <c r="K89" s="15">
        <v>3</v>
      </c>
      <c r="L89" s="15">
        <v>1</v>
      </c>
      <c r="M89" s="15">
        <v>3</v>
      </c>
      <c r="N89" s="15">
        <v>0</v>
      </c>
      <c r="O89" s="17">
        <f t="shared" si="8"/>
        <v>0.90264679704282713</v>
      </c>
      <c r="P89" s="17">
        <f t="shared" si="9"/>
        <v>0.71149311639182578</v>
      </c>
      <c r="Q89" s="17">
        <f t="shared" si="10"/>
        <v>1</v>
      </c>
      <c r="R89" s="17">
        <f t="shared" si="12"/>
        <v>1</v>
      </c>
      <c r="S89" s="17">
        <f t="shared" si="13"/>
        <v>0.28850688360817422</v>
      </c>
      <c r="T89" s="17">
        <f t="shared" si="11"/>
        <v>-1.2430363333249563</v>
      </c>
    </row>
    <row r="90" spans="1:20" x14ac:dyDescent="0.3">
      <c r="A90" s="15">
        <v>60</v>
      </c>
      <c r="B90" s="15">
        <v>1</v>
      </c>
      <c r="C90" s="15">
        <v>3</v>
      </c>
      <c r="D90" s="15">
        <v>140</v>
      </c>
      <c r="E90" s="15">
        <v>185</v>
      </c>
      <c r="F90" s="15">
        <v>0</v>
      </c>
      <c r="G90" s="15">
        <v>2</v>
      </c>
      <c r="H90" s="15">
        <v>155</v>
      </c>
      <c r="I90" s="15">
        <v>0</v>
      </c>
      <c r="J90" s="15">
        <v>3</v>
      </c>
      <c r="K90" s="15">
        <v>2</v>
      </c>
      <c r="L90" s="15">
        <v>0</v>
      </c>
      <c r="M90" s="15">
        <v>3</v>
      </c>
      <c r="N90" s="15">
        <v>1</v>
      </c>
      <c r="O90" s="17">
        <f t="shared" si="8"/>
        <v>-0.67434648783178375</v>
      </c>
      <c r="P90" s="17">
        <f t="shared" si="9"/>
        <v>0.33752427370218879</v>
      </c>
      <c r="Q90" s="17">
        <f t="shared" si="10"/>
        <v>0</v>
      </c>
      <c r="R90" s="17">
        <f t="shared" si="12"/>
        <v>1</v>
      </c>
      <c r="S90" s="17">
        <f t="shared" si="13"/>
        <v>0.33752427370218879</v>
      </c>
      <c r="T90" s="17">
        <f t="shared" si="11"/>
        <v>-1.0861178491752619</v>
      </c>
    </row>
    <row r="91" spans="1:20" x14ac:dyDescent="0.3">
      <c r="A91" s="15">
        <v>54</v>
      </c>
      <c r="B91" s="15">
        <v>1</v>
      </c>
      <c r="C91" s="15">
        <v>3</v>
      </c>
      <c r="D91" s="15">
        <v>150</v>
      </c>
      <c r="E91" s="15">
        <v>232</v>
      </c>
      <c r="F91" s="15">
        <v>0</v>
      </c>
      <c r="G91" s="15">
        <v>2</v>
      </c>
      <c r="H91" s="15">
        <v>165</v>
      </c>
      <c r="I91" s="15">
        <v>0</v>
      </c>
      <c r="J91" s="15">
        <v>1.6</v>
      </c>
      <c r="K91" s="15">
        <v>1</v>
      </c>
      <c r="L91" s="15">
        <v>0</v>
      </c>
      <c r="M91" s="15">
        <v>7</v>
      </c>
      <c r="N91" s="15">
        <v>0</v>
      </c>
      <c r="O91" s="17">
        <f t="shared" si="8"/>
        <v>-0.35624682853655365</v>
      </c>
      <c r="P91" s="17">
        <f t="shared" si="9"/>
        <v>0.41186840557016724</v>
      </c>
      <c r="Q91" s="17">
        <f t="shared" si="10"/>
        <v>0</v>
      </c>
      <c r="R91" s="17">
        <f t="shared" si="12"/>
        <v>0</v>
      </c>
      <c r="S91" s="17">
        <f t="shared" si="13"/>
        <v>0.58813159442983276</v>
      </c>
      <c r="T91" s="17">
        <f t="shared" si="11"/>
        <v>-0.53080455607226973</v>
      </c>
    </row>
    <row r="92" spans="1:20" x14ac:dyDescent="0.3">
      <c r="A92" s="15">
        <v>51</v>
      </c>
      <c r="B92" s="15">
        <v>0</v>
      </c>
      <c r="C92" s="15">
        <v>3</v>
      </c>
      <c r="D92" s="15">
        <v>140</v>
      </c>
      <c r="E92" s="15">
        <v>308</v>
      </c>
      <c r="F92" s="15">
        <v>0</v>
      </c>
      <c r="G92" s="15">
        <v>2</v>
      </c>
      <c r="H92" s="15">
        <v>142</v>
      </c>
      <c r="I92" s="15">
        <v>0</v>
      </c>
      <c r="J92" s="15">
        <v>1.5</v>
      </c>
      <c r="K92" s="15">
        <v>1</v>
      </c>
      <c r="L92" s="15">
        <v>1</v>
      </c>
      <c r="M92" s="15">
        <v>3</v>
      </c>
      <c r="N92" s="15">
        <v>0</v>
      </c>
      <c r="O92" s="17">
        <f t="shared" si="8"/>
        <v>-0.70196655027955224</v>
      </c>
      <c r="P92" s="17">
        <f t="shared" si="9"/>
        <v>0.33137636262164016</v>
      </c>
      <c r="Q92" s="17">
        <f t="shared" si="10"/>
        <v>0</v>
      </c>
      <c r="R92" s="17">
        <f t="shared" si="12"/>
        <v>0</v>
      </c>
      <c r="S92" s="17">
        <f t="shared" si="13"/>
        <v>0.66862363737835984</v>
      </c>
      <c r="T92" s="17">
        <f t="shared" si="11"/>
        <v>-0.40253395207879339</v>
      </c>
    </row>
    <row r="93" spans="1:20" x14ac:dyDescent="0.3">
      <c r="A93" s="15">
        <v>48</v>
      </c>
      <c r="B93" s="15">
        <v>1</v>
      </c>
      <c r="C93" s="15">
        <v>2</v>
      </c>
      <c r="D93" s="15">
        <v>130</v>
      </c>
      <c r="E93" s="15">
        <v>245</v>
      </c>
      <c r="F93" s="15">
        <v>0</v>
      </c>
      <c r="G93" s="15">
        <v>2</v>
      </c>
      <c r="H93" s="15">
        <v>180</v>
      </c>
      <c r="I93" s="15">
        <v>0</v>
      </c>
      <c r="J93" s="15">
        <v>0.2</v>
      </c>
      <c r="K93" s="15">
        <v>2</v>
      </c>
      <c r="L93" s="15">
        <v>0</v>
      </c>
      <c r="M93" s="15">
        <v>3</v>
      </c>
      <c r="N93" s="15">
        <v>0</v>
      </c>
      <c r="O93" s="17">
        <f t="shared" si="8"/>
        <v>-2.6980796466368693</v>
      </c>
      <c r="P93" s="17">
        <f t="shared" si="9"/>
        <v>6.3086766860779422E-2</v>
      </c>
      <c r="Q93" s="17">
        <f t="shared" si="10"/>
        <v>0</v>
      </c>
      <c r="R93" s="17">
        <f t="shared" si="12"/>
        <v>0</v>
      </c>
      <c r="S93" s="17">
        <f t="shared" si="13"/>
        <v>0.93691323313922059</v>
      </c>
      <c r="T93" s="17">
        <f t="shared" si="11"/>
        <v>-6.5164601736632341E-2</v>
      </c>
    </row>
    <row r="94" spans="1:20" x14ac:dyDescent="0.3">
      <c r="A94" s="15">
        <v>39</v>
      </c>
      <c r="B94" s="15">
        <v>1</v>
      </c>
      <c r="C94" s="15">
        <v>3</v>
      </c>
      <c r="D94" s="15">
        <v>140</v>
      </c>
      <c r="E94" s="15">
        <v>321</v>
      </c>
      <c r="F94" s="15">
        <v>0</v>
      </c>
      <c r="G94" s="15">
        <v>2</v>
      </c>
      <c r="H94" s="15">
        <v>182</v>
      </c>
      <c r="I94" s="15">
        <v>0</v>
      </c>
      <c r="J94" s="15">
        <v>0</v>
      </c>
      <c r="K94" s="15">
        <v>1</v>
      </c>
      <c r="L94" s="15">
        <v>0</v>
      </c>
      <c r="M94" s="15">
        <v>3</v>
      </c>
      <c r="N94" s="15">
        <v>0</v>
      </c>
      <c r="O94" s="17">
        <f t="shared" si="8"/>
        <v>-2.2127474166254659</v>
      </c>
      <c r="P94" s="17">
        <f t="shared" si="9"/>
        <v>9.8611593149460053E-2</v>
      </c>
      <c r="Q94" s="17">
        <f t="shared" si="10"/>
        <v>0</v>
      </c>
      <c r="R94" s="17">
        <f t="shared" si="12"/>
        <v>0</v>
      </c>
      <c r="S94" s="17">
        <f t="shared" si="13"/>
        <v>0.90138840685054</v>
      </c>
      <c r="T94" s="17">
        <f t="shared" si="11"/>
        <v>-0.1038190300790526</v>
      </c>
    </row>
    <row r="95" spans="1:20" x14ac:dyDescent="0.3">
      <c r="A95" s="15">
        <v>52</v>
      </c>
      <c r="B95" s="15">
        <v>1</v>
      </c>
      <c r="C95" s="15">
        <v>2</v>
      </c>
      <c r="D95" s="15">
        <v>120</v>
      </c>
      <c r="E95" s="15">
        <v>325</v>
      </c>
      <c r="F95" s="15">
        <v>0</v>
      </c>
      <c r="G95" s="15">
        <v>0</v>
      </c>
      <c r="H95" s="15">
        <v>172</v>
      </c>
      <c r="I95" s="15">
        <v>0</v>
      </c>
      <c r="J95" s="15">
        <v>0.2</v>
      </c>
      <c r="K95" s="15">
        <v>1</v>
      </c>
      <c r="L95" s="15">
        <v>0</v>
      </c>
      <c r="M95" s="15">
        <v>3</v>
      </c>
      <c r="N95" s="15">
        <v>0</v>
      </c>
      <c r="O95" s="17">
        <f t="shared" si="8"/>
        <v>-4.022753544023983</v>
      </c>
      <c r="P95" s="17">
        <f t="shared" si="9"/>
        <v>1.7588697673434548E-2</v>
      </c>
      <c r="Q95" s="17">
        <f t="shared" si="10"/>
        <v>0</v>
      </c>
      <c r="R95" s="17">
        <f t="shared" si="12"/>
        <v>0</v>
      </c>
      <c r="S95" s="17">
        <f t="shared" si="13"/>
        <v>0.98241130232656548</v>
      </c>
      <c r="T95" s="17">
        <f t="shared" si="11"/>
        <v>-1.7745216844195503E-2</v>
      </c>
    </row>
    <row r="96" spans="1:20" x14ac:dyDescent="0.3">
      <c r="A96" s="15">
        <v>44</v>
      </c>
      <c r="B96" s="15">
        <v>1</v>
      </c>
      <c r="C96" s="15">
        <v>3</v>
      </c>
      <c r="D96" s="15">
        <v>140</v>
      </c>
      <c r="E96" s="15">
        <v>235</v>
      </c>
      <c r="F96" s="15">
        <v>0</v>
      </c>
      <c r="G96" s="15">
        <v>2</v>
      </c>
      <c r="H96" s="15">
        <v>180</v>
      </c>
      <c r="I96" s="15">
        <v>0</v>
      </c>
      <c r="J96" s="15">
        <v>0</v>
      </c>
      <c r="K96" s="15">
        <v>1</v>
      </c>
      <c r="L96" s="15">
        <v>0</v>
      </c>
      <c r="M96" s="15">
        <v>3</v>
      </c>
      <c r="N96" s="15">
        <v>0</v>
      </c>
      <c r="O96" s="17">
        <f t="shared" si="8"/>
        <v>-2.4380660351208538</v>
      </c>
      <c r="P96" s="17">
        <f t="shared" si="9"/>
        <v>8.0315648678875792E-2</v>
      </c>
      <c r="Q96" s="17">
        <f t="shared" si="10"/>
        <v>0</v>
      </c>
      <c r="R96" s="17">
        <f t="shared" si="12"/>
        <v>0</v>
      </c>
      <c r="S96" s="17">
        <f t="shared" si="13"/>
        <v>0.91968435132112425</v>
      </c>
      <c r="T96" s="17">
        <f t="shared" si="11"/>
        <v>-8.3724764200165849E-2</v>
      </c>
    </row>
    <row r="97" spans="1:20" x14ac:dyDescent="0.3">
      <c r="A97" s="15">
        <v>59</v>
      </c>
      <c r="B97" s="15">
        <v>1</v>
      </c>
      <c r="C97" s="15">
        <v>4</v>
      </c>
      <c r="D97" s="15">
        <v>110</v>
      </c>
      <c r="E97" s="15">
        <v>239</v>
      </c>
      <c r="F97" s="15">
        <v>0</v>
      </c>
      <c r="G97" s="15">
        <v>2</v>
      </c>
      <c r="H97" s="15">
        <v>142</v>
      </c>
      <c r="I97" s="15">
        <v>1</v>
      </c>
      <c r="J97" s="15">
        <v>1.2</v>
      </c>
      <c r="K97" s="15">
        <v>2</v>
      </c>
      <c r="L97" s="15">
        <v>1</v>
      </c>
      <c r="M97" s="15">
        <v>7</v>
      </c>
      <c r="N97" s="15">
        <v>1</v>
      </c>
      <c r="O97" s="17">
        <f t="shared" si="8"/>
        <v>2.5887273469692662</v>
      </c>
      <c r="P97" s="17">
        <f t="shared" si="9"/>
        <v>0.93013255777519777</v>
      </c>
      <c r="Q97" s="17">
        <f t="shared" si="10"/>
        <v>1</v>
      </c>
      <c r="R97" s="17">
        <f t="shared" si="12"/>
        <v>0</v>
      </c>
      <c r="S97" s="17">
        <f t="shared" si="13"/>
        <v>0.93013255777519777</v>
      </c>
      <c r="T97" s="17">
        <f t="shared" si="11"/>
        <v>-7.2428167749869765E-2</v>
      </c>
    </row>
    <row r="98" spans="1:20" x14ac:dyDescent="0.3">
      <c r="A98" s="15">
        <v>52</v>
      </c>
      <c r="B98" s="15">
        <v>1</v>
      </c>
      <c r="C98" s="15">
        <v>2</v>
      </c>
      <c r="D98" s="15">
        <v>134</v>
      </c>
      <c r="E98" s="15">
        <v>201</v>
      </c>
      <c r="F98" s="15">
        <v>0</v>
      </c>
      <c r="G98" s="15">
        <v>0</v>
      </c>
      <c r="H98" s="15">
        <v>158</v>
      </c>
      <c r="I98" s="15">
        <v>0</v>
      </c>
      <c r="J98" s="15">
        <v>0.8</v>
      </c>
      <c r="K98" s="15">
        <v>1</v>
      </c>
      <c r="L98" s="15">
        <v>1</v>
      </c>
      <c r="M98" s="15">
        <v>3</v>
      </c>
      <c r="N98" s="15">
        <v>0</v>
      </c>
      <c r="O98" s="17">
        <f t="shared" si="8"/>
        <v>-2.0586021115034914</v>
      </c>
      <c r="P98" s="17">
        <f t="shared" si="9"/>
        <v>0.11318606725169041</v>
      </c>
      <c r="Q98" s="17">
        <f t="shared" si="10"/>
        <v>0</v>
      </c>
      <c r="R98" s="17">
        <f t="shared" si="12"/>
        <v>0</v>
      </c>
      <c r="S98" s="17">
        <f t="shared" si="13"/>
        <v>0.88681393274830955</v>
      </c>
      <c r="T98" s="17">
        <f t="shared" si="11"/>
        <v>-0.12012009010008422</v>
      </c>
    </row>
    <row r="99" spans="1:20" x14ac:dyDescent="0.3">
      <c r="A99" s="15">
        <v>71</v>
      </c>
      <c r="B99" s="15">
        <v>0</v>
      </c>
      <c r="C99" s="15">
        <v>3</v>
      </c>
      <c r="D99" s="15">
        <v>110</v>
      </c>
      <c r="E99" s="15">
        <v>265</v>
      </c>
      <c r="F99" s="15">
        <v>1</v>
      </c>
      <c r="G99" s="15">
        <v>2</v>
      </c>
      <c r="H99" s="15">
        <v>130</v>
      </c>
      <c r="I99" s="15">
        <v>0</v>
      </c>
      <c r="J99" s="15">
        <v>0</v>
      </c>
      <c r="K99" s="15">
        <v>1</v>
      </c>
      <c r="L99" s="15">
        <v>1</v>
      </c>
      <c r="M99" s="15">
        <v>3</v>
      </c>
      <c r="N99" s="15">
        <v>0</v>
      </c>
      <c r="O99" s="17">
        <f t="shared" si="8"/>
        <v>-2.5469160599110641</v>
      </c>
      <c r="P99" s="17">
        <f t="shared" si="9"/>
        <v>7.2633940588448367E-2</v>
      </c>
      <c r="Q99" s="17">
        <f t="shared" si="10"/>
        <v>0</v>
      </c>
      <c r="R99" s="17">
        <f t="shared" si="12"/>
        <v>0</v>
      </c>
      <c r="S99" s="17">
        <f t="shared" si="13"/>
        <v>0.92736605941155159</v>
      </c>
      <c r="T99" s="17">
        <f t="shared" si="11"/>
        <v>-7.5406905266673444E-2</v>
      </c>
    </row>
    <row r="100" spans="1:20" x14ac:dyDescent="0.3">
      <c r="A100" s="15">
        <v>59</v>
      </c>
      <c r="B100" s="15">
        <v>1</v>
      </c>
      <c r="C100" s="15">
        <v>4</v>
      </c>
      <c r="D100" s="15">
        <v>140</v>
      </c>
      <c r="E100" s="15">
        <v>177</v>
      </c>
      <c r="F100" s="15">
        <v>0</v>
      </c>
      <c r="G100" s="15">
        <v>0</v>
      </c>
      <c r="H100" s="15">
        <v>162</v>
      </c>
      <c r="I100" s="15">
        <v>1</v>
      </c>
      <c r="J100" s="15">
        <v>0</v>
      </c>
      <c r="K100" s="15">
        <v>1</v>
      </c>
      <c r="L100" s="15">
        <v>1</v>
      </c>
      <c r="M100" s="15">
        <v>7</v>
      </c>
      <c r="N100" s="15">
        <v>1</v>
      </c>
      <c r="O100" s="17">
        <f t="shared" si="8"/>
        <v>1.3347131171594455</v>
      </c>
      <c r="P100" s="17">
        <f t="shared" si="9"/>
        <v>0.79161917099502743</v>
      </c>
      <c r="Q100" s="17">
        <f t="shared" si="10"/>
        <v>1</v>
      </c>
      <c r="R100" s="17">
        <f t="shared" si="12"/>
        <v>0</v>
      </c>
      <c r="S100" s="17">
        <f t="shared" si="13"/>
        <v>0.79161917099502743</v>
      </c>
      <c r="T100" s="17">
        <f t="shared" si="11"/>
        <v>-0.23367484751384604</v>
      </c>
    </row>
    <row r="101" spans="1:20" x14ac:dyDescent="0.3">
      <c r="A101" s="15">
        <v>57</v>
      </c>
      <c r="B101" s="15">
        <v>1</v>
      </c>
      <c r="C101" s="15">
        <v>3</v>
      </c>
      <c r="D101" s="15">
        <v>128</v>
      </c>
      <c r="E101" s="15">
        <v>229</v>
      </c>
      <c r="F101" s="15">
        <v>0</v>
      </c>
      <c r="G101" s="15">
        <v>2</v>
      </c>
      <c r="H101" s="15">
        <v>150</v>
      </c>
      <c r="I101" s="15">
        <v>0</v>
      </c>
      <c r="J101" s="15">
        <v>0.4</v>
      </c>
      <c r="K101" s="15">
        <v>2</v>
      </c>
      <c r="L101" s="15">
        <v>1</v>
      </c>
      <c r="M101" s="15">
        <v>7</v>
      </c>
      <c r="N101" s="15">
        <v>1</v>
      </c>
      <c r="O101" s="17">
        <f t="shared" si="8"/>
        <v>1.2278876668255005</v>
      </c>
      <c r="P101" s="17">
        <f t="shared" si="9"/>
        <v>0.77344865273624563</v>
      </c>
      <c r="Q101" s="17">
        <f t="shared" si="10"/>
        <v>1</v>
      </c>
      <c r="R101" s="17">
        <f t="shared" si="12"/>
        <v>0</v>
      </c>
      <c r="S101" s="17">
        <f t="shared" si="13"/>
        <v>0.77344865273624563</v>
      </c>
      <c r="T101" s="17">
        <f t="shared" si="11"/>
        <v>-0.2568959941896018</v>
      </c>
    </row>
    <row r="102" spans="1:20" x14ac:dyDescent="0.3">
      <c r="A102" s="15">
        <v>56</v>
      </c>
      <c r="B102" s="15">
        <v>1</v>
      </c>
      <c r="C102" s="15">
        <v>4</v>
      </c>
      <c r="D102" s="15">
        <v>125</v>
      </c>
      <c r="E102" s="15">
        <v>249</v>
      </c>
      <c r="F102" s="15">
        <v>1</v>
      </c>
      <c r="G102" s="15">
        <v>2</v>
      </c>
      <c r="H102" s="15">
        <v>144</v>
      </c>
      <c r="I102" s="15">
        <v>1</v>
      </c>
      <c r="J102" s="15">
        <v>1.2</v>
      </c>
      <c r="K102" s="15">
        <v>2</v>
      </c>
      <c r="L102" s="15">
        <v>1</v>
      </c>
      <c r="M102" s="15">
        <v>3</v>
      </c>
      <c r="N102" s="15">
        <v>1</v>
      </c>
      <c r="O102" s="17">
        <f t="shared" si="8"/>
        <v>1.3570174384080076</v>
      </c>
      <c r="P102" s="17">
        <f t="shared" si="9"/>
        <v>0.79527452568947388</v>
      </c>
      <c r="Q102" s="17">
        <f t="shared" si="10"/>
        <v>1</v>
      </c>
      <c r="R102" s="17">
        <f t="shared" si="12"/>
        <v>0</v>
      </c>
      <c r="S102" s="17">
        <f t="shared" si="13"/>
        <v>0.79527452568947388</v>
      </c>
      <c r="T102" s="17">
        <f t="shared" si="11"/>
        <v>-0.2290679086027512</v>
      </c>
    </row>
    <row r="103" spans="1:20" x14ac:dyDescent="0.3">
      <c r="A103" s="15">
        <v>58</v>
      </c>
      <c r="B103" s="15">
        <v>1</v>
      </c>
      <c r="C103" s="15">
        <v>3</v>
      </c>
      <c r="D103" s="15">
        <v>140</v>
      </c>
      <c r="E103" s="15">
        <v>211</v>
      </c>
      <c r="F103" s="15">
        <v>1</v>
      </c>
      <c r="G103" s="15">
        <v>2</v>
      </c>
      <c r="H103" s="15">
        <v>165</v>
      </c>
      <c r="I103" s="15">
        <v>0</v>
      </c>
      <c r="J103" s="15">
        <v>0</v>
      </c>
      <c r="K103" s="15">
        <v>1</v>
      </c>
      <c r="L103" s="15">
        <v>0</v>
      </c>
      <c r="M103" s="15">
        <v>3</v>
      </c>
      <c r="N103" s="15">
        <v>0</v>
      </c>
      <c r="O103" s="17">
        <f t="shared" si="8"/>
        <v>-2.8372960913617433</v>
      </c>
      <c r="P103" s="17">
        <f t="shared" si="9"/>
        <v>5.5341725635771881E-2</v>
      </c>
      <c r="Q103" s="17">
        <f t="shared" si="10"/>
        <v>0</v>
      </c>
      <c r="R103" s="17">
        <f t="shared" si="12"/>
        <v>0</v>
      </c>
      <c r="S103" s="17">
        <f t="shared" si="13"/>
        <v>0.94465827436422811</v>
      </c>
      <c r="T103" s="17">
        <f t="shared" si="11"/>
        <v>-5.6932031316046759E-2</v>
      </c>
    </row>
    <row r="104" spans="1:20" x14ac:dyDescent="0.3">
      <c r="A104" s="15">
        <v>51</v>
      </c>
      <c r="B104" s="15">
        <v>1</v>
      </c>
      <c r="C104" s="15">
        <v>3</v>
      </c>
      <c r="D104" s="15">
        <v>100</v>
      </c>
      <c r="E104" s="15">
        <v>222</v>
      </c>
      <c r="F104" s="15">
        <v>0</v>
      </c>
      <c r="G104" s="15">
        <v>0</v>
      </c>
      <c r="H104" s="15">
        <v>143</v>
      </c>
      <c r="I104" s="15">
        <v>1</v>
      </c>
      <c r="J104" s="15">
        <v>1.2</v>
      </c>
      <c r="K104" s="15">
        <v>2</v>
      </c>
      <c r="L104" s="15">
        <v>0</v>
      </c>
      <c r="M104" s="15">
        <v>3</v>
      </c>
      <c r="N104" s="15">
        <v>0</v>
      </c>
      <c r="O104" s="17">
        <f t="shared" si="8"/>
        <v>-1.6235124681336375</v>
      </c>
      <c r="P104" s="17">
        <f t="shared" si="9"/>
        <v>0.16472102738480773</v>
      </c>
      <c r="Q104" s="17">
        <f t="shared" si="10"/>
        <v>0</v>
      </c>
      <c r="R104" s="17">
        <f t="shared" si="12"/>
        <v>0</v>
      </c>
      <c r="S104" s="17">
        <f t="shared" si="13"/>
        <v>0.83527897261519224</v>
      </c>
      <c r="T104" s="17">
        <f t="shared" si="11"/>
        <v>-0.17998951098955474</v>
      </c>
    </row>
    <row r="105" spans="1:20" x14ac:dyDescent="0.3">
      <c r="A105" s="15">
        <v>55</v>
      </c>
      <c r="B105" s="15">
        <v>1</v>
      </c>
      <c r="C105" s="15">
        <v>4</v>
      </c>
      <c r="D105" s="15">
        <v>140</v>
      </c>
      <c r="E105" s="15">
        <v>217</v>
      </c>
      <c r="F105" s="15">
        <v>0</v>
      </c>
      <c r="G105" s="15">
        <v>0</v>
      </c>
      <c r="H105" s="15">
        <v>111</v>
      </c>
      <c r="I105" s="15">
        <v>1</v>
      </c>
      <c r="J105" s="15">
        <v>5.6</v>
      </c>
      <c r="K105" s="15">
        <v>3</v>
      </c>
      <c r="L105" s="15">
        <v>0</v>
      </c>
      <c r="M105" s="15">
        <v>7</v>
      </c>
      <c r="N105" s="15">
        <v>1</v>
      </c>
      <c r="O105" s="17">
        <f t="shared" si="8"/>
        <v>4.1335185662498635</v>
      </c>
      <c r="P105" s="17">
        <f t="shared" si="9"/>
        <v>0.98422640420460039</v>
      </c>
      <c r="Q105" s="17">
        <f t="shared" si="10"/>
        <v>1</v>
      </c>
      <c r="R105" s="17">
        <f t="shared" si="12"/>
        <v>0</v>
      </c>
      <c r="S105" s="17">
        <f t="shared" si="13"/>
        <v>0.98422640420460039</v>
      </c>
      <c r="T105" s="17">
        <f t="shared" si="11"/>
        <v>-1.589932282172888E-2</v>
      </c>
    </row>
    <row r="106" spans="1:20" x14ac:dyDescent="0.3">
      <c r="A106" s="15">
        <v>56</v>
      </c>
      <c r="B106" s="15">
        <v>0</v>
      </c>
      <c r="C106" s="15">
        <v>4</v>
      </c>
      <c r="D106" s="15">
        <v>200</v>
      </c>
      <c r="E106" s="15">
        <v>288</v>
      </c>
      <c r="F106" s="15">
        <v>1</v>
      </c>
      <c r="G106" s="15">
        <v>2</v>
      </c>
      <c r="H106" s="15">
        <v>133</v>
      </c>
      <c r="I106" s="15">
        <v>1</v>
      </c>
      <c r="J106" s="15">
        <v>4</v>
      </c>
      <c r="K106" s="15">
        <v>3</v>
      </c>
      <c r="L106" s="15">
        <v>2</v>
      </c>
      <c r="M106" s="15">
        <v>7</v>
      </c>
      <c r="N106" s="15">
        <v>1</v>
      </c>
      <c r="O106" s="17">
        <f t="shared" si="8"/>
        <v>7.2046320023957975</v>
      </c>
      <c r="P106" s="17">
        <f t="shared" si="9"/>
        <v>0.99925741622251685</v>
      </c>
      <c r="Q106" s="17">
        <f t="shared" si="10"/>
        <v>1</v>
      </c>
      <c r="R106" s="17">
        <f t="shared" si="12"/>
        <v>0</v>
      </c>
      <c r="S106" s="17">
        <f t="shared" si="13"/>
        <v>0.99925741622251685</v>
      </c>
      <c r="T106" s="17">
        <f t="shared" si="11"/>
        <v>-7.4285962938699609E-4</v>
      </c>
    </row>
    <row r="107" spans="1:20" x14ac:dyDescent="0.3">
      <c r="A107" s="15">
        <v>54</v>
      </c>
      <c r="B107" s="15">
        <v>1</v>
      </c>
      <c r="C107" s="15">
        <v>4</v>
      </c>
      <c r="D107" s="15">
        <v>110</v>
      </c>
      <c r="E107" s="15">
        <v>239</v>
      </c>
      <c r="F107" s="15">
        <v>0</v>
      </c>
      <c r="G107" s="15">
        <v>0</v>
      </c>
      <c r="H107" s="15">
        <v>126</v>
      </c>
      <c r="I107" s="15">
        <v>1</v>
      </c>
      <c r="J107" s="15">
        <v>2.8</v>
      </c>
      <c r="K107" s="15">
        <v>2</v>
      </c>
      <c r="L107" s="15">
        <v>1</v>
      </c>
      <c r="M107" s="15">
        <v>7</v>
      </c>
      <c r="N107" s="15">
        <v>1</v>
      </c>
      <c r="O107" s="17">
        <f t="shared" si="8"/>
        <v>2.8666429845286192</v>
      </c>
      <c r="P107" s="17">
        <f t="shared" si="9"/>
        <v>0.94617263111262084</v>
      </c>
      <c r="Q107" s="17">
        <f t="shared" si="10"/>
        <v>1</v>
      </c>
      <c r="R107" s="17">
        <f t="shared" si="12"/>
        <v>0</v>
      </c>
      <c r="S107" s="17">
        <f t="shared" si="13"/>
        <v>0.94617263111262084</v>
      </c>
      <c r="T107" s="17">
        <f t="shared" si="11"/>
        <v>-5.5330241258784219E-2</v>
      </c>
    </row>
    <row r="108" spans="1:20" x14ac:dyDescent="0.3">
      <c r="A108" s="15">
        <v>62</v>
      </c>
      <c r="B108" s="15">
        <v>1</v>
      </c>
      <c r="C108" s="15">
        <v>2</v>
      </c>
      <c r="D108" s="15">
        <v>120</v>
      </c>
      <c r="E108" s="15">
        <v>281</v>
      </c>
      <c r="F108" s="15">
        <v>0</v>
      </c>
      <c r="G108" s="15">
        <v>2</v>
      </c>
      <c r="H108" s="15">
        <v>103</v>
      </c>
      <c r="I108" s="15">
        <v>0</v>
      </c>
      <c r="J108" s="15">
        <v>1.4</v>
      </c>
      <c r="K108" s="15">
        <v>2</v>
      </c>
      <c r="L108" s="15">
        <v>1</v>
      </c>
      <c r="M108" s="15">
        <v>7</v>
      </c>
      <c r="N108" s="15">
        <v>1</v>
      </c>
      <c r="O108" s="17">
        <f t="shared" si="8"/>
        <v>1.4349141913443102</v>
      </c>
      <c r="P108" s="17">
        <f t="shared" si="9"/>
        <v>0.80766584911006456</v>
      </c>
      <c r="Q108" s="17">
        <f t="shared" si="10"/>
        <v>1</v>
      </c>
      <c r="R108" s="17">
        <f t="shared" si="12"/>
        <v>0</v>
      </c>
      <c r="S108" s="17">
        <f t="shared" si="13"/>
        <v>0.80766584911006456</v>
      </c>
      <c r="T108" s="17">
        <f t="shared" si="11"/>
        <v>-0.21360685907930405</v>
      </c>
    </row>
    <row r="109" spans="1:20" x14ac:dyDescent="0.3">
      <c r="A109" s="15">
        <v>58</v>
      </c>
      <c r="B109" s="15">
        <v>1</v>
      </c>
      <c r="C109" s="15">
        <v>3</v>
      </c>
      <c r="D109" s="15">
        <v>105</v>
      </c>
      <c r="E109" s="15">
        <v>240</v>
      </c>
      <c r="F109" s="15">
        <v>0</v>
      </c>
      <c r="G109" s="15">
        <v>2</v>
      </c>
      <c r="H109" s="15">
        <v>154</v>
      </c>
      <c r="I109" s="15">
        <v>1</v>
      </c>
      <c r="J109" s="15">
        <v>0.6</v>
      </c>
      <c r="K109" s="15">
        <v>2</v>
      </c>
      <c r="L109" s="15">
        <v>0</v>
      </c>
      <c r="M109" s="15">
        <v>7</v>
      </c>
      <c r="N109" s="15">
        <v>0</v>
      </c>
      <c r="O109" s="17">
        <f t="shared" si="8"/>
        <v>-0.17998102863766796</v>
      </c>
      <c r="P109" s="17">
        <f t="shared" si="9"/>
        <v>0.45512581226050325</v>
      </c>
      <c r="Q109" s="17">
        <f t="shared" si="10"/>
        <v>0</v>
      </c>
      <c r="R109" s="17">
        <f t="shared" si="12"/>
        <v>0</v>
      </c>
      <c r="S109" s="17">
        <f t="shared" si="13"/>
        <v>0.5448741877394967</v>
      </c>
      <c r="T109" s="17">
        <f t="shared" si="11"/>
        <v>-0.6072003591528462</v>
      </c>
    </row>
    <row r="110" spans="1:20" x14ac:dyDescent="0.3">
      <c r="A110" s="15">
        <v>45</v>
      </c>
      <c r="B110" s="15">
        <v>1</v>
      </c>
      <c r="C110" s="15">
        <v>2</v>
      </c>
      <c r="D110" s="15">
        <v>128</v>
      </c>
      <c r="E110" s="15">
        <v>308</v>
      </c>
      <c r="F110" s="15">
        <v>0</v>
      </c>
      <c r="G110" s="15">
        <v>2</v>
      </c>
      <c r="H110" s="15">
        <v>170</v>
      </c>
      <c r="I110" s="15">
        <v>0</v>
      </c>
      <c r="J110" s="15">
        <v>0</v>
      </c>
      <c r="K110" s="15">
        <v>1</v>
      </c>
      <c r="L110" s="15">
        <v>0</v>
      </c>
      <c r="M110" s="15">
        <v>3</v>
      </c>
      <c r="N110" s="15">
        <v>0</v>
      </c>
      <c r="O110" s="17">
        <f t="shared" si="8"/>
        <v>-3.2640591733069559</v>
      </c>
      <c r="P110" s="17">
        <f t="shared" si="9"/>
        <v>3.6824963942759179E-2</v>
      </c>
      <c r="Q110" s="17">
        <f t="shared" si="10"/>
        <v>0</v>
      </c>
      <c r="R110" s="17">
        <f t="shared" si="12"/>
        <v>0</v>
      </c>
      <c r="S110" s="17">
        <f t="shared" si="13"/>
        <v>0.96317503605724086</v>
      </c>
      <c r="T110" s="17">
        <f t="shared" si="11"/>
        <v>-3.7520122478108806E-2</v>
      </c>
    </row>
    <row r="111" spans="1:20" x14ac:dyDescent="0.3">
      <c r="A111" s="15">
        <v>68</v>
      </c>
      <c r="B111" s="15">
        <v>1</v>
      </c>
      <c r="C111" s="15">
        <v>3</v>
      </c>
      <c r="D111" s="15">
        <v>118</v>
      </c>
      <c r="E111" s="15">
        <v>277</v>
      </c>
      <c r="F111" s="15">
        <v>0</v>
      </c>
      <c r="G111" s="15">
        <v>0</v>
      </c>
      <c r="H111" s="15">
        <v>151</v>
      </c>
      <c r="I111" s="15">
        <v>0</v>
      </c>
      <c r="J111" s="15">
        <v>1</v>
      </c>
      <c r="K111" s="15">
        <v>1</v>
      </c>
      <c r="L111" s="15">
        <v>1</v>
      </c>
      <c r="M111" s="15">
        <v>7</v>
      </c>
      <c r="N111" s="15">
        <v>0</v>
      </c>
      <c r="O111" s="17">
        <f t="shared" si="8"/>
        <v>-0.30658779052904173</v>
      </c>
      <c r="P111" s="17">
        <f t="shared" si="9"/>
        <v>0.42394783824797111</v>
      </c>
      <c r="Q111" s="17">
        <f t="shared" si="10"/>
        <v>0</v>
      </c>
      <c r="R111" s="17">
        <f t="shared" si="12"/>
        <v>0</v>
      </c>
      <c r="S111" s="17">
        <f t="shared" si="13"/>
        <v>0.57605216175202889</v>
      </c>
      <c r="T111" s="17">
        <f t="shared" si="11"/>
        <v>-0.5515570637891557</v>
      </c>
    </row>
    <row r="112" spans="1:20" x14ac:dyDescent="0.3">
      <c r="A112" s="15">
        <v>58</v>
      </c>
      <c r="B112" s="15">
        <v>0</v>
      </c>
      <c r="C112" s="15">
        <v>4</v>
      </c>
      <c r="D112" s="15">
        <v>100</v>
      </c>
      <c r="E112" s="15">
        <v>248</v>
      </c>
      <c r="F112" s="15">
        <v>0</v>
      </c>
      <c r="G112" s="15">
        <v>2</v>
      </c>
      <c r="H112" s="15">
        <v>122</v>
      </c>
      <c r="I112" s="15">
        <v>0</v>
      </c>
      <c r="J112" s="15">
        <v>1</v>
      </c>
      <c r="K112" s="15">
        <v>2</v>
      </c>
      <c r="L112" s="15">
        <v>0</v>
      </c>
      <c r="M112" s="15">
        <v>3</v>
      </c>
      <c r="N112" s="15">
        <v>0</v>
      </c>
      <c r="O112" s="17">
        <f t="shared" si="8"/>
        <v>-1.5719872349444239</v>
      </c>
      <c r="P112" s="17">
        <f t="shared" si="9"/>
        <v>0.17193328018839757</v>
      </c>
      <c r="Q112" s="17">
        <f t="shared" si="10"/>
        <v>0</v>
      </c>
      <c r="R112" s="17">
        <f t="shared" si="12"/>
        <v>0</v>
      </c>
      <c r="S112" s="17">
        <f t="shared" si="13"/>
        <v>0.8280667198116024</v>
      </c>
      <c r="T112" s="17">
        <f t="shared" si="11"/>
        <v>-0.18866154836061788</v>
      </c>
    </row>
    <row r="113" spans="1:20" x14ac:dyDescent="0.3">
      <c r="A113" s="15">
        <v>54</v>
      </c>
      <c r="B113" s="15">
        <v>0</v>
      </c>
      <c r="C113" s="15">
        <v>2</v>
      </c>
      <c r="D113" s="15">
        <v>132</v>
      </c>
      <c r="E113" s="15">
        <v>288</v>
      </c>
      <c r="F113" s="15">
        <v>1</v>
      </c>
      <c r="G113" s="15">
        <v>2</v>
      </c>
      <c r="H113" s="15">
        <v>159</v>
      </c>
      <c r="I113" s="15">
        <v>1</v>
      </c>
      <c r="J113" s="15">
        <v>0</v>
      </c>
      <c r="K113" s="15">
        <v>1</v>
      </c>
      <c r="L113" s="15">
        <v>1</v>
      </c>
      <c r="M113" s="15">
        <v>3</v>
      </c>
      <c r="N113" s="15">
        <v>0</v>
      </c>
      <c r="O113" s="17">
        <f t="shared" si="8"/>
        <v>-2.332162151878717</v>
      </c>
      <c r="P113" s="17">
        <f t="shared" si="9"/>
        <v>8.8494102576462522E-2</v>
      </c>
      <c r="Q113" s="17">
        <f t="shared" si="10"/>
        <v>0</v>
      </c>
      <c r="R113" s="17">
        <f t="shared" si="12"/>
        <v>0</v>
      </c>
      <c r="S113" s="17">
        <f t="shared" si="13"/>
        <v>0.91150589742353749</v>
      </c>
      <c r="T113" s="17">
        <f t="shared" si="11"/>
        <v>-9.2657214864012474E-2</v>
      </c>
    </row>
    <row r="114" spans="1:20" x14ac:dyDescent="0.3">
      <c r="A114" s="15">
        <v>35</v>
      </c>
      <c r="B114" s="15">
        <v>1</v>
      </c>
      <c r="C114" s="15">
        <v>4</v>
      </c>
      <c r="D114" s="15">
        <v>126</v>
      </c>
      <c r="E114" s="15">
        <v>282</v>
      </c>
      <c r="F114" s="15">
        <v>0</v>
      </c>
      <c r="G114" s="15">
        <v>2</v>
      </c>
      <c r="H114" s="15">
        <v>156</v>
      </c>
      <c r="I114" s="15">
        <v>1</v>
      </c>
      <c r="J114" s="15">
        <v>0</v>
      </c>
      <c r="K114" s="15">
        <v>1</v>
      </c>
      <c r="L114" s="15">
        <v>0</v>
      </c>
      <c r="M114" s="15">
        <v>7</v>
      </c>
      <c r="N114" s="15">
        <v>1</v>
      </c>
      <c r="O114" s="17">
        <f t="shared" si="8"/>
        <v>0.62737638314632527</v>
      </c>
      <c r="P114" s="17">
        <f t="shared" si="9"/>
        <v>0.65189432728010221</v>
      </c>
      <c r="Q114" s="17">
        <f t="shared" si="10"/>
        <v>1</v>
      </c>
      <c r="R114" s="17">
        <f t="shared" si="12"/>
        <v>0</v>
      </c>
      <c r="S114" s="17">
        <f t="shared" si="13"/>
        <v>0.65189432728010221</v>
      </c>
      <c r="T114" s="17">
        <f t="shared" si="11"/>
        <v>-0.42787280491478108</v>
      </c>
    </row>
    <row r="115" spans="1:20" x14ac:dyDescent="0.3">
      <c r="A115" s="15">
        <v>45</v>
      </c>
      <c r="B115" s="15">
        <v>0</v>
      </c>
      <c r="C115" s="15">
        <v>2</v>
      </c>
      <c r="D115" s="15">
        <v>112</v>
      </c>
      <c r="E115" s="15">
        <v>160</v>
      </c>
      <c r="F115" s="15">
        <v>0</v>
      </c>
      <c r="G115" s="15">
        <v>0</v>
      </c>
      <c r="H115" s="15">
        <v>138</v>
      </c>
      <c r="I115" s="15">
        <v>0</v>
      </c>
      <c r="J115" s="15">
        <v>0</v>
      </c>
      <c r="K115" s="15">
        <v>2</v>
      </c>
      <c r="L115" s="15">
        <v>0</v>
      </c>
      <c r="M115" s="15">
        <v>3</v>
      </c>
      <c r="N115" s="15">
        <v>0</v>
      </c>
      <c r="O115" s="17">
        <f t="shared" si="8"/>
        <v>-3.9815082101120911</v>
      </c>
      <c r="P115" s="17">
        <f t="shared" si="9"/>
        <v>1.8315752938455838E-2</v>
      </c>
      <c r="Q115" s="17">
        <f t="shared" si="10"/>
        <v>0</v>
      </c>
      <c r="R115" s="17">
        <f t="shared" si="12"/>
        <v>0</v>
      </c>
      <c r="S115" s="17">
        <f t="shared" si="13"/>
        <v>0.98168424706154411</v>
      </c>
      <c r="T115" s="17">
        <f t="shared" si="11"/>
        <v>-1.8485563003481774E-2</v>
      </c>
    </row>
    <row r="116" spans="1:20" x14ac:dyDescent="0.3">
      <c r="A116" s="15">
        <v>59</v>
      </c>
      <c r="B116" s="15">
        <v>0</v>
      </c>
      <c r="C116" s="15">
        <v>4</v>
      </c>
      <c r="D116" s="15">
        <v>174</v>
      </c>
      <c r="E116" s="15">
        <v>249</v>
      </c>
      <c r="F116" s="15">
        <v>0</v>
      </c>
      <c r="G116" s="15">
        <v>0</v>
      </c>
      <c r="H116" s="15">
        <v>143</v>
      </c>
      <c r="I116" s="15">
        <v>1</v>
      </c>
      <c r="J116" s="15">
        <v>0</v>
      </c>
      <c r="K116" s="15">
        <v>2</v>
      </c>
      <c r="L116" s="15">
        <v>0</v>
      </c>
      <c r="M116" s="15">
        <v>3</v>
      </c>
      <c r="N116" s="15">
        <v>1</v>
      </c>
      <c r="O116" s="17">
        <f t="shared" si="8"/>
        <v>0.29193535125966186</v>
      </c>
      <c r="P116" s="17">
        <f t="shared" si="9"/>
        <v>0.57246987280544637</v>
      </c>
      <c r="Q116" s="17">
        <f t="shared" si="10"/>
        <v>1</v>
      </c>
      <c r="R116" s="17">
        <f t="shared" si="12"/>
        <v>0</v>
      </c>
      <c r="S116" s="17">
        <f t="shared" si="13"/>
        <v>0.57246987280544637</v>
      </c>
      <c r="T116" s="17">
        <f t="shared" si="11"/>
        <v>-0.55779516885904712</v>
      </c>
    </row>
    <row r="117" spans="1:20" x14ac:dyDescent="0.3">
      <c r="A117" s="15">
        <v>62</v>
      </c>
      <c r="B117" s="15">
        <v>0</v>
      </c>
      <c r="C117" s="15">
        <v>4</v>
      </c>
      <c r="D117" s="15">
        <v>140</v>
      </c>
      <c r="E117" s="15">
        <v>394</v>
      </c>
      <c r="F117" s="15">
        <v>0</v>
      </c>
      <c r="G117" s="15">
        <v>2</v>
      </c>
      <c r="H117" s="15">
        <v>157</v>
      </c>
      <c r="I117" s="15">
        <v>0</v>
      </c>
      <c r="J117" s="15">
        <v>1.2</v>
      </c>
      <c r="K117" s="15">
        <v>2</v>
      </c>
      <c r="L117" s="15">
        <v>0</v>
      </c>
      <c r="M117" s="15">
        <v>3</v>
      </c>
      <c r="N117" s="15">
        <v>0</v>
      </c>
      <c r="O117" s="17">
        <f t="shared" si="8"/>
        <v>-0.71125767293147746</v>
      </c>
      <c r="P117" s="17">
        <f t="shared" si="9"/>
        <v>0.32932100002809078</v>
      </c>
      <c r="Q117" s="17">
        <f t="shared" si="10"/>
        <v>0</v>
      </c>
      <c r="R117" s="17">
        <f t="shared" si="12"/>
        <v>0</v>
      </c>
      <c r="S117" s="17">
        <f t="shared" si="13"/>
        <v>0.67067899997190916</v>
      </c>
      <c r="T117" s="17">
        <f t="shared" si="11"/>
        <v>-0.39946464697956102</v>
      </c>
    </row>
    <row r="118" spans="1:20" x14ac:dyDescent="0.3">
      <c r="A118" s="15">
        <v>64</v>
      </c>
      <c r="B118" s="15">
        <v>1</v>
      </c>
      <c r="C118" s="15">
        <v>4</v>
      </c>
      <c r="D118" s="15">
        <v>145</v>
      </c>
      <c r="E118" s="15">
        <v>212</v>
      </c>
      <c r="F118" s="15">
        <v>0</v>
      </c>
      <c r="G118" s="15">
        <v>2</v>
      </c>
      <c r="H118" s="15">
        <v>132</v>
      </c>
      <c r="I118" s="15">
        <v>0</v>
      </c>
      <c r="J118" s="15">
        <v>2</v>
      </c>
      <c r="K118" s="15">
        <v>2</v>
      </c>
      <c r="L118" s="15">
        <v>2</v>
      </c>
      <c r="M118" s="15">
        <v>6</v>
      </c>
      <c r="N118" s="15">
        <v>1</v>
      </c>
      <c r="O118" s="17">
        <f t="shared" si="8"/>
        <v>4.3118204020805351</v>
      </c>
      <c r="P118" s="17">
        <f t="shared" si="9"/>
        <v>0.9867683079344205</v>
      </c>
      <c r="Q118" s="17">
        <f t="shared" si="10"/>
        <v>1</v>
      </c>
      <c r="R118" s="17">
        <f t="shared" si="12"/>
        <v>0</v>
      </c>
      <c r="S118" s="17">
        <f t="shared" si="13"/>
        <v>0.9867683079344205</v>
      </c>
      <c r="T118" s="17">
        <f t="shared" si="11"/>
        <v>-1.3320010839401509E-2</v>
      </c>
    </row>
    <row r="119" spans="1:20" x14ac:dyDescent="0.3">
      <c r="A119" s="15">
        <v>56</v>
      </c>
      <c r="B119" s="15">
        <v>1</v>
      </c>
      <c r="C119" s="15">
        <v>4</v>
      </c>
      <c r="D119" s="15">
        <v>132</v>
      </c>
      <c r="E119" s="15">
        <v>184</v>
      </c>
      <c r="F119" s="15">
        <v>0</v>
      </c>
      <c r="G119" s="15">
        <v>2</v>
      </c>
      <c r="H119" s="15">
        <v>105</v>
      </c>
      <c r="I119" s="15">
        <v>1</v>
      </c>
      <c r="J119" s="15">
        <v>2.1</v>
      </c>
      <c r="K119" s="15">
        <v>2</v>
      </c>
      <c r="L119" s="15">
        <v>1</v>
      </c>
      <c r="M119" s="15">
        <v>6</v>
      </c>
      <c r="N119" s="15">
        <v>1</v>
      </c>
      <c r="O119" s="17">
        <f t="shared" si="8"/>
        <v>3.8471775039022535</v>
      </c>
      <c r="P119" s="17">
        <f t="shared" si="9"/>
        <v>0.97910599242868979</v>
      </c>
      <c r="Q119" s="17">
        <f t="shared" si="10"/>
        <v>1</v>
      </c>
      <c r="R119" s="17">
        <f t="shared" si="12"/>
        <v>0</v>
      </c>
      <c r="S119" s="17">
        <f t="shared" si="13"/>
        <v>0.97910599242868979</v>
      </c>
      <c r="T119" s="17">
        <f t="shared" si="11"/>
        <v>-2.1115376296963802E-2</v>
      </c>
    </row>
    <row r="120" spans="1:20" x14ac:dyDescent="0.3">
      <c r="A120" s="15">
        <v>48</v>
      </c>
      <c r="B120" s="15">
        <v>1</v>
      </c>
      <c r="C120" s="15">
        <v>4</v>
      </c>
      <c r="D120" s="15">
        <v>124</v>
      </c>
      <c r="E120" s="15">
        <v>274</v>
      </c>
      <c r="F120" s="15">
        <v>0</v>
      </c>
      <c r="G120" s="15">
        <v>2</v>
      </c>
      <c r="H120" s="15">
        <v>166</v>
      </c>
      <c r="I120" s="15">
        <v>0</v>
      </c>
      <c r="J120" s="15">
        <v>0.5</v>
      </c>
      <c r="K120" s="15">
        <v>2</v>
      </c>
      <c r="L120" s="15">
        <v>0</v>
      </c>
      <c r="M120" s="15">
        <v>7</v>
      </c>
      <c r="N120" s="15">
        <v>1</v>
      </c>
      <c r="O120" s="17">
        <f t="shared" si="8"/>
        <v>0.42993521209485586</v>
      </c>
      <c r="P120" s="17">
        <f t="shared" si="9"/>
        <v>0.60585819757212778</v>
      </c>
      <c r="Q120" s="17">
        <f t="shared" si="10"/>
        <v>1</v>
      </c>
      <c r="R120" s="17">
        <f t="shared" si="12"/>
        <v>0</v>
      </c>
      <c r="S120" s="17">
        <f t="shared" si="13"/>
        <v>0.60585819757212778</v>
      </c>
      <c r="T120" s="17">
        <f t="shared" si="11"/>
        <v>-0.50110931770021683</v>
      </c>
    </row>
    <row r="121" spans="1:20" x14ac:dyDescent="0.3">
      <c r="A121" s="15">
        <v>56</v>
      </c>
      <c r="B121" s="15">
        <v>0</v>
      </c>
      <c r="C121" s="15">
        <v>4</v>
      </c>
      <c r="D121" s="15">
        <v>134</v>
      </c>
      <c r="E121" s="15">
        <v>409</v>
      </c>
      <c r="F121" s="15">
        <v>0</v>
      </c>
      <c r="G121" s="15">
        <v>2</v>
      </c>
      <c r="H121" s="15">
        <v>150</v>
      </c>
      <c r="I121" s="15">
        <v>1</v>
      </c>
      <c r="J121" s="15">
        <v>1.9</v>
      </c>
      <c r="K121" s="15">
        <v>2</v>
      </c>
      <c r="L121" s="15">
        <v>2</v>
      </c>
      <c r="M121" s="15">
        <v>7</v>
      </c>
      <c r="N121" s="15">
        <v>1</v>
      </c>
      <c r="O121" s="17">
        <f t="shared" si="8"/>
        <v>4.2678713267220019</v>
      </c>
      <c r="P121" s="17">
        <f t="shared" si="9"/>
        <v>0.98618203400003979</v>
      </c>
      <c r="Q121" s="17">
        <f t="shared" si="10"/>
        <v>1</v>
      </c>
      <c r="R121" s="17">
        <f t="shared" si="12"/>
        <v>0</v>
      </c>
      <c r="S121" s="17">
        <f t="shared" si="13"/>
        <v>0.98618203400003979</v>
      </c>
      <c r="T121" s="17">
        <f t="shared" si="11"/>
        <v>-1.39143227581315E-2</v>
      </c>
    </row>
    <row r="122" spans="1:20" x14ac:dyDescent="0.3">
      <c r="A122" s="15">
        <v>42</v>
      </c>
      <c r="B122" s="15">
        <v>1</v>
      </c>
      <c r="C122" s="15">
        <v>1</v>
      </c>
      <c r="D122" s="15">
        <v>148</v>
      </c>
      <c r="E122" s="15">
        <v>244</v>
      </c>
      <c r="F122" s="15">
        <v>0</v>
      </c>
      <c r="G122" s="15">
        <v>2</v>
      </c>
      <c r="H122" s="15">
        <v>178</v>
      </c>
      <c r="I122" s="15">
        <v>0</v>
      </c>
      <c r="J122" s="15">
        <v>0.8</v>
      </c>
      <c r="K122" s="15">
        <v>1</v>
      </c>
      <c r="L122" s="15">
        <v>2</v>
      </c>
      <c r="M122" s="15">
        <v>3</v>
      </c>
      <c r="N122" s="15">
        <v>0</v>
      </c>
      <c r="O122" s="17">
        <f t="shared" si="8"/>
        <v>-0.77888147551935383</v>
      </c>
      <c r="P122" s="17">
        <f t="shared" si="9"/>
        <v>0.31456100374831747</v>
      </c>
      <c r="Q122" s="17">
        <f t="shared" si="10"/>
        <v>0</v>
      </c>
      <c r="R122" s="17">
        <f t="shared" si="12"/>
        <v>0</v>
      </c>
      <c r="S122" s="17">
        <f t="shared" si="13"/>
        <v>0.68543899625168248</v>
      </c>
      <c r="T122" s="17">
        <f t="shared" si="11"/>
        <v>-0.37769577554926387</v>
      </c>
    </row>
    <row r="123" spans="1:20" x14ac:dyDescent="0.3">
      <c r="A123" s="15">
        <v>67</v>
      </c>
      <c r="B123" s="15">
        <v>1</v>
      </c>
      <c r="C123" s="15">
        <v>4</v>
      </c>
      <c r="D123" s="15">
        <v>100</v>
      </c>
      <c r="E123" s="15">
        <v>299</v>
      </c>
      <c r="F123" s="15">
        <v>0</v>
      </c>
      <c r="G123" s="15">
        <v>2</v>
      </c>
      <c r="H123" s="15">
        <v>125</v>
      </c>
      <c r="I123" s="15">
        <v>1</v>
      </c>
      <c r="J123" s="15">
        <v>0.9</v>
      </c>
      <c r="K123" s="15">
        <v>2</v>
      </c>
      <c r="L123" s="15">
        <v>2</v>
      </c>
      <c r="M123" s="15">
        <v>3</v>
      </c>
      <c r="N123" s="15">
        <v>1</v>
      </c>
      <c r="O123" s="17">
        <f t="shared" si="8"/>
        <v>2.8199651837175885</v>
      </c>
      <c r="P123" s="17">
        <f t="shared" si="9"/>
        <v>0.94374521805263845</v>
      </c>
      <c r="Q123" s="17">
        <f t="shared" si="10"/>
        <v>1</v>
      </c>
      <c r="R123" s="17">
        <f t="shared" si="12"/>
        <v>0</v>
      </c>
      <c r="S123" s="17">
        <f t="shared" si="13"/>
        <v>0.94374521805263845</v>
      </c>
      <c r="T123" s="17">
        <f t="shared" si="11"/>
        <v>-5.7899045395831412E-2</v>
      </c>
    </row>
    <row r="124" spans="1:20" x14ac:dyDescent="0.3">
      <c r="A124" s="15">
        <v>69</v>
      </c>
      <c r="B124" s="15">
        <v>1</v>
      </c>
      <c r="C124" s="15">
        <v>1</v>
      </c>
      <c r="D124" s="15">
        <v>160</v>
      </c>
      <c r="E124" s="15">
        <v>234</v>
      </c>
      <c r="F124" s="15">
        <v>1</v>
      </c>
      <c r="G124" s="15">
        <v>2</v>
      </c>
      <c r="H124" s="15">
        <v>131</v>
      </c>
      <c r="I124" s="15">
        <v>0</v>
      </c>
      <c r="J124" s="15">
        <v>0.1</v>
      </c>
      <c r="K124" s="15">
        <v>2</v>
      </c>
      <c r="L124" s="15">
        <v>1</v>
      </c>
      <c r="M124" s="15">
        <v>3</v>
      </c>
      <c r="N124" s="15">
        <v>0</v>
      </c>
      <c r="O124" s="17">
        <f t="shared" si="8"/>
        <v>-0.95164657558611587</v>
      </c>
      <c r="P124" s="17">
        <f t="shared" si="9"/>
        <v>0.27855380291880449</v>
      </c>
      <c r="Q124" s="17">
        <f t="shared" si="10"/>
        <v>0</v>
      </c>
      <c r="R124" s="17">
        <f t="shared" si="12"/>
        <v>0</v>
      </c>
      <c r="S124" s="17">
        <f t="shared" si="13"/>
        <v>0.72144619708119551</v>
      </c>
      <c r="T124" s="17">
        <f t="shared" si="11"/>
        <v>-0.32649747446879474</v>
      </c>
    </row>
    <row r="125" spans="1:20" x14ac:dyDescent="0.3">
      <c r="A125" s="15">
        <v>45</v>
      </c>
      <c r="B125" s="15">
        <v>0</v>
      </c>
      <c r="C125" s="15">
        <v>4</v>
      </c>
      <c r="D125" s="15">
        <v>138</v>
      </c>
      <c r="E125" s="15">
        <v>236</v>
      </c>
      <c r="F125" s="15">
        <v>0</v>
      </c>
      <c r="G125" s="15">
        <v>2</v>
      </c>
      <c r="H125" s="15">
        <v>152</v>
      </c>
      <c r="I125" s="15">
        <v>1</v>
      </c>
      <c r="J125" s="15">
        <v>0.2</v>
      </c>
      <c r="K125" s="15">
        <v>2</v>
      </c>
      <c r="L125" s="15">
        <v>0</v>
      </c>
      <c r="M125" s="15">
        <v>3</v>
      </c>
      <c r="N125" s="15">
        <v>0</v>
      </c>
      <c r="O125" s="17">
        <f t="shared" si="8"/>
        <v>-0.36251710009157634</v>
      </c>
      <c r="P125" s="17">
        <f t="shared" si="9"/>
        <v>0.41035038384238565</v>
      </c>
      <c r="Q125" s="17">
        <f t="shared" si="10"/>
        <v>0</v>
      </c>
      <c r="R125" s="17">
        <f t="shared" si="12"/>
        <v>0</v>
      </c>
      <c r="S125" s="17">
        <f t="shared" si="13"/>
        <v>0.58964961615761435</v>
      </c>
      <c r="T125" s="17">
        <f t="shared" si="11"/>
        <v>-0.52822678941285117</v>
      </c>
    </row>
    <row r="126" spans="1:20" x14ac:dyDescent="0.3">
      <c r="A126" s="15">
        <v>50</v>
      </c>
      <c r="B126" s="15">
        <v>0</v>
      </c>
      <c r="C126" s="15">
        <v>2</v>
      </c>
      <c r="D126" s="15">
        <v>120</v>
      </c>
      <c r="E126" s="15">
        <v>244</v>
      </c>
      <c r="F126" s="15">
        <v>0</v>
      </c>
      <c r="G126" s="15">
        <v>0</v>
      </c>
      <c r="H126" s="15">
        <v>162</v>
      </c>
      <c r="I126" s="15">
        <v>0</v>
      </c>
      <c r="J126" s="15">
        <v>1.1000000000000001</v>
      </c>
      <c r="K126" s="15">
        <v>1</v>
      </c>
      <c r="L126" s="15">
        <v>0</v>
      </c>
      <c r="M126" s="15">
        <v>3</v>
      </c>
      <c r="N126" s="15">
        <v>0</v>
      </c>
      <c r="O126" s="17">
        <f t="shared" si="8"/>
        <v>-4.6955441558840842</v>
      </c>
      <c r="P126" s="17">
        <f t="shared" si="9"/>
        <v>9.0531857131609297E-3</v>
      </c>
      <c r="Q126" s="17">
        <f t="shared" si="10"/>
        <v>0</v>
      </c>
      <c r="R126" s="17">
        <f t="shared" si="12"/>
        <v>0</v>
      </c>
      <c r="S126" s="17">
        <f t="shared" si="13"/>
        <v>0.99094681428683906</v>
      </c>
      <c r="T126" s="17">
        <f t="shared" si="11"/>
        <v>-9.0944148241136336E-3</v>
      </c>
    </row>
    <row r="127" spans="1:20" x14ac:dyDescent="0.3">
      <c r="A127" s="15">
        <v>59</v>
      </c>
      <c r="B127" s="15">
        <v>1</v>
      </c>
      <c r="C127" s="15">
        <v>1</v>
      </c>
      <c r="D127" s="15">
        <v>160</v>
      </c>
      <c r="E127" s="15">
        <v>273</v>
      </c>
      <c r="F127" s="15">
        <v>0</v>
      </c>
      <c r="G127" s="15">
        <v>2</v>
      </c>
      <c r="H127" s="15">
        <v>125</v>
      </c>
      <c r="I127" s="15">
        <v>0</v>
      </c>
      <c r="J127" s="15">
        <v>0</v>
      </c>
      <c r="K127" s="15">
        <v>1</v>
      </c>
      <c r="L127" s="15">
        <v>0</v>
      </c>
      <c r="M127" s="15">
        <v>3</v>
      </c>
      <c r="N127" s="15">
        <v>1</v>
      </c>
      <c r="O127" s="17">
        <f t="shared" si="8"/>
        <v>-2.4039577832365016</v>
      </c>
      <c r="P127" s="17">
        <f t="shared" si="9"/>
        <v>8.2871393193981846E-2</v>
      </c>
      <c r="Q127" s="17">
        <f t="shared" si="10"/>
        <v>0</v>
      </c>
      <c r="R127" s="17">
        <f t="shared" si="12"/>
        <v>1</v>
      </c>
      <c r="S127" s="17">
        <f t="shared" si="13"/>
        <v>8.2871393193981846E-2</v>
      </c>
      <c r="T127" s="17">
        <f t="shared" si="11"/>
        <v>-2.4904653524611047</v>
      </c>
    </row>
    <row r="128" spans="1:20" x14ac:dyDescent="0.3">
      <c r="A128" s="15">
        <v>64</v>
      </c>
      <c r="B128" s="15">
        <v>0</v>
      </c>
      <c r="C128" s="15">
        <v>3</v>
      </c>
      <c r="D128" s="15">
        <v>140</v>
      </c>
      <c r="E128" s="15">
        <v>313</v>
      </c>
      <c r="F128" s="15">
        <v>0</v>
      </c>
      <c r="G128" s="15">
        <v>0</v>
      </c>
      <c r="H128" s="15">
        <v>133</v>
      </c>
      <c r="I128" s="15">
        <v>0</v>
      </c>
      <c r="J128" s="15">
        <v>0.2</v>
      </c>
      <c r="K128" s="15">
        <v>1</v>
      </c>
      <c r="L128" s="15">
        <v>0</v>
      </c>
      <c r="M128" s="15">
        <v>7</v>
      </c>
      <c r="N128" s="15">
        <v>0</v>
      </c>
      <c r="O128" s="17">
        <f t="shared" si="8"/>
        <v>-1.6124020852213015</v>
      </c>
      <c r="P128" s="17">
        <f t="shared" si="9"/>
        <v>0.16625538267518877</v>
      </c>
      <c r="Q128" s="17">
        <f t="shared" si="10"/>
        <v>0</v>
      </c>
      <c r="R128" s="17">
        <f t="shared" si="12"/>
        <v>0</v>
      </c>
      <c r="S128" s="17">
        <f t="shared" si="13"/>
        <v>0.8337446173248112</v>
      </c>
      <c r="T128" s="17">
        <f t="shared" si="11"/>
        <v>-0.18182813775537895</v>
      </c>
    </row>
    <row r="129" spans="1:20" x14ac:dyDescent="0.3">
      <c r="A129" s="15">
        <v>45</v>
      </c>
      <c r="B129" s="15">
        <v>1</v>
      </c>
      <c r="C129" s="15">
        <v>4</v>
      </c>
      <c r="D129" s="15">
        <v>142</v>
      </c>
      <c r="E129" s="15">
        <v>309</v>
      </c>
      <c r="F129" s="15">
        <v>0</v>
      </c>
      <c r="G129" s="15">
        <v>2</v>
      </c>
      <c r="H129" s="15">
        <v>147</v>
      </c>
      <c r="I129" s="15">
        <v>1</v>
      </c>
      <c r="J129" s="15">
        <v>0</v>
      </c>
      <c r="K129" s="15">
        <v>2</v>
      </c>
      <c r="L129" s="15">
        <v>3</v>
      </c>
      <c r="M129" s="15">
        <v>7</v>
      </c>
      <c r="N129" s="15">
        <v>1</v>
      </c>
      <c r="O129" s="17">
        <f t="shared" si="8"/>
        <v>6.3394654276475269</v>
      </c>
      <c r="P129" s="17">
        <f t="shared" si="9"/>
        <v>0.9982378649650141</v>
      </c>
      <c r="Q129" s="17">
        <f t="shared" si="10"/>
        <v>1</v>
      </c>
      <c r="R129" s="17">
        <f t="shared" si="12"/>
        <v>0</v>
      </c>
      <c r="S129" s="17">
        <f t="shared" si="13"/>
        <v>0.9982378649650141</v>
      </c>
      <c r="T129" s="17">
        <f t="shared" si="11"/>
        <v>-1.7636894212206859E-3</v>
      </c>
    </row>
    <row r="130" spans="1:20" x14ac:dyDescent="0.3">
      <c r="A130" s="15">
        <v>41</v>
      </c>
      <c r="B130" s="15">
        <v>1</v>
      </c>
      <c r="C130" s="15">
        <v>3</v>
      </c>
      <c r="D130" s="15">
        <v>130</v>
      </c>
      <c r="E130" s="15">
        <v>214</v>
      </c>
      <c r="F130" s="15">
        <v>0</v>
      </c>
      <c r="G130" s="15">
        <v>2</v>
      </c>
      <c r="H130" s="15">
        <v>168</v>
      </c>
      <c r="I130" s="15">
        <v>0</v>
      </c>
      <c r="J130" s="15">
        <v>2</v>
      </c>
      <c r="K130" s="15">
        <v>2</v>
      </c>
      <c r="L130" s="15">
        <v>0</v>
      </c>
      <c r="M130" s="15">
        <v>3</v>
      </c>
      <c r="N130" s="15">
        <v>0</v>
      </c>
      <c r="O130" s="17">
        <f t="shared" si="8"/>
        <v>-1.2008318112173466</v>
      </c>
      <c r="P130" s="17">
        <f t="shared" si="9"/>
        <v>0.23132727496278599</v>
      </c>
      <c r="Q130" s="17">
        <f t="shared" si="10"/>
        <v>0</v>
      </c>
      <c r="R130" s="17">
        <f t="shared" si="12"/>
        <v>0</v>
      </c>
      <c r="S130" s="17">
        <f t="shared" si="13"/>
        <v>0.76867272503721407</v>
      </c>
      <c r="T130" s="17">
        <f t="shared" si="11"/>
        <v>-0.26308998519070576</v>
      </c>
    </row>
    <row r="131" spans="1:20" x14ac:dyDescent="0.3">
      <c r="A131" s="15">
        <v>66</v>
      </c>
      <c r="B131" s="15">
        <v>0</v>
      </c>
      <c r="C131" s="15">
        <v>4</v>
      </c>
      <c r="D131" s="15">
        <v>178</v>
      </c>
      <c r="E131" s="15">
        <v>228</v>
      </c>
      <c r="F131" s="15">
        <v>1</v>
      </c>
      <c r="G131" s="15">
        <v>0</v>
      </c>
      <c r="H131" s="15">
        <v>165</v>
      </c>
      <c r="I131" s="15">
        <v>1</v>
      </c>
      <c r="J131" s="15">
        <v>1</v>
      </c>
      <c r="K131" s="15">
        <v>2</v>
      </c>
      <c r="L131" s="15">
        <v>2</v>
      </c>
      <c r="M131" s="15">
        <v>7</v>
      </c>
      <c r="N131" s="15">
        <v>1</v>
      </c>
      <c r="O131" s="17">
        <f t="shared" si="8"/>
        <v>3.5739580066283292</v>
      </c>
      <c r="P131" s="17">
        <f t="shared" si="9"/>
        <v>0.97272041312264967</v>
      </c>
      <c r="Q131" s="17">
        <f t="shared" si="10"/>
        <v>1</v>
      </c>
      <c r="R131" s="17">
        <f t="shared" si="12"/>
        <v>0</v>
      </c>
      <c r="S131" s="17">
        <f t="shared" si="13"/>
        <v>0.97272041312264967</v>
      </c>
      <c r="T131" s="17">
        <f t="shared" si="11"/>
        <v>-2.7658583285361346E-2</v>
      </c>
    </row>
    <row r="132" spans="1:20" x14ac:dyDescent="0.3">
      <c r="A132" s="15">
        <v>52</v>
      </c>
      <c r="B132" s="15">
        <v>1</v>
      </c>
      <c r="C132" s="15">
        <v>4</v>
      </c>
      <c r="D132" s="15">
        <v>112</v>
      </c>
      <c r="E132" s="15">
        <v>230</v>
      </c>
      <c r="F132" s="15">
        <v>0</v>
      </c>
      <c r="G132" s="15">
        <v>0</v>
      </c>
      <c r="H132" s="15">
        <v>160</v>
      </c>
      <c r="I132" s="15">
        <v>0</v>
      </c>
      <c r="J132" s="15">
        <v>0</v>
      </c>
      <c r="K132" s="15">
        <v>1</v>
      </c>
      <c r="L132" s="15">
        <v>1</v>
      </c>
      <c r="M132" s="15">
        <v>3</v>
      </c>
      <c r="N132" s="15">
        <v>1</v>
      </c>
      <c r="O132" s="17">
        <f t="shared" si="8"/>
        <v>-1.2244140255029041</v>
      </c>
      <c r="P132" s="17">
        <f t="shared" si="9"/>
        <v>0.22716059705356612</v>
      </c>
      <c r="Q132" s="17">
        <f t="shared" si="10"/>
        <v>0</v>
      </c>
      <c r="R132" s="17">
        <f t="shared" si="12"/>
        <v>1</v>
      </c>
      <c r="S132" s="17">
        <f t="shared" si="13"/>
        <v>0.22716059705356612</v>
      </c>
      <c r="T132" s="17">
        <f t="shared" si="11"/>
        <v>-1.4820980356370121</v>
      </c>
    </row>
    <row r="133" spans="1:20" x14ac:dyDescent="0.3">
      <c r="A133" s="15">
        <v>56</v>
      </c>
      <c r="B133" s="15">
        <v>1</v>
      </c>
      <c r="C133" s="15">
        <v>1</v>
      </c>
      <c r="D133" s="15">
        <v>120</v>
      </c>
      <c r="E133" s="15">
        <v>193</v>
      </c>
      <c r="F133" s="15">
        <v>0</v>
      </c>
      <c r="G133" s="15">
        <v>2</v>
      </c>
      <c r="H133" s="15">
        <v>162</v>
      </c>
      <c r="I133" s="15">
        <v>0</v>
      </c>
      <c r="J133" s="15">
        <v>1.9</v>
      </c>
      <c r="K133" s="15">
        <v>2</v>
      </c>
      <c r="L133" s="15">
        <v>0</v>
      </c>
      <c r="M133" s="15">
        <v>7</v>
      </c>
      <c r="N133" s="15">
        <v>0</v>
      </c>
      <c r="O133" s="17">
        <f t="shared" si="8"/>
        <v>-2.0807256478730567</v>
      </c>
      <c r="P133" s="17">
        <f t="shared" si="9"/>
        <v>0.1109843491272143</v>
      </c>
      <c r="Q133" s="17">
        <f t="shared" si="10"/>
        <v>0</v>
      </c>
      <c r="R133" s="17">
        <f t="shared" si="12"/>
        <v>0</v>
      </c>
      <c r="S133" s="17">
        <f t="shared" si="13"/>
        <v>0.88901565087278567</v>
      </c>
      <c r="T133" s="17">
        <f t="shared" si="11"/>
        <v>-0.11764043859194424</v>
      </c>
    </row>
    <row r="134" spans="1:20" x14ac:dyDescent="0.3">
      <c r="A134" s="15">
        <v>59</v>
      </c>
      <c r="B134" s="15">
        <v>1</v>
      </c>
      <c r="C134" s="15">
        <v>4</v>
      </c>
      <c r="D134" s="15">
        <v>138</v>
      </c>
      <c r="E134" s="15">
        <v>271</v>
      </c>
      <c r="F134" s="15">
        <v>0</v>
      </c>
      <c r="G134" s="15">
        <v>2</v>
      </c>
      <c r="H134" s="15">
        <v>182</v>
      </c>
      <c r="I134" s="15">
        <v>0</v>
      </c>
      <c r="J134" s="15">
        <v>0</v>
      </c>
      <c r="K134" s="15">
        <v>1</v>
      </c>
      <c r="L134" s="15">
        <v>0</v>
      </c>
      <c r="M134" s="15">
        <v>3</v>
      </c>
      <c r="N134" s="15">
        <v>0</v>
      </c>
      <c r="O134" s="17">
        <f t="shared" si="8"/>
        <v>-1.7874224764370092</v>
      </c>
      <c r="P134" s="17">
        <f t="shared" si="9"/>
        <v>0.14338902621315594</v>
      </c>
      <c r="Q134" s="17">
        <f t="shared" si="10"/>
        <v>0</v>
      </c>
      <c r="R134" s="17">
        <f t="shared" si="12"/>
        <v>0</v>
      </c>
      <c r="S134" s="17">
        <f t="shared" si="13"/>
        <v>0.85661097378684403</v>
      </c>
      <c r="T134" s="17">
        <f t="shared" si="11"/>
        <v>-0.15477140301805908</v>
      </c>
    </row>
    <row r="135" spans="1:20" x14ac:dyDescent="0.3">
      <c r="A135" s="15">
        <v>67</v>
      </c>
      <c r="B135" s="15">
        <v>0</v>
      </c>
      <c r="C135" s="15">
        <v>3</v>
      </c>
      <c r="D135" s="15">
        <v>152</v>
      </c>
      <c r="E135" s="15">
        <v>277</v>
      </c>
      <c r="F135" s="15">
        <v>0</v>
      </c>
      <c r="G135" s="15">
        <v>0</v>
      </c>
      <c r="H135" s="15">
        <v>172</v>
      </c>
      <c r="I135" s="15">
        <v>0</v>
      </c>
      <c r="J135" s="15">
        <v>0</v>
      </c>
      <c r="K135" s="15">
        <v>1</v>
      </c>
      <c r="L135" s="15">
        <v>1</v>
      </c>
      <c r="M135" s="15">
        <v>3</v>
      </c>
      <c r="N135" s="15">
        <v>0</v>
      </c>
      <c r="O135" s="17">
        <f t="shared" ref="O135:O198" si="14">SUMPRODUCT(A$4:M$4, A135:M135)+N$4</f>
        <v>-2.0362499920214763</v>
      </c>
      <c r="P135" s="17">
        <f t="shared" ref="P135:P198" si="15">1/(1+EXP(0-O135))</f>
        <v>0.11544913332926156</v>
      </c>
      <c r="Q135" s="17">
        <f t="shared" ref="Q135:Q198" si="16">IF(P135&lt;=0.5, 0, 1)</f>
        <v>0</v>
      </c>
      <c r="R135" s="17">
        <f t="shared" si="12"/>
        <v>0</v>
      </c>
      <c r="S135" s="17">
        <f t="shared" si="13"/>
        <v>0.88455086667073846</v>
      </c>
      <c r="T135" s="17">
        <f t="shared" ref="T135:T198" si="17">IF(S135=0, -100000, LN(S135))</f>
        <v>-0.12267525808082734</v>
      </c>
    </row>
    <row r="136" spans="1:20" x14ac:dyDescent="0.3">
      <c r="A136" s="15">
        <v>52</v>
      </c>
      <c r="B136" s="15">
        <v>0</v>
      </c>
      <c r="C136" s="15">
        <v>3</v>
      </c>
      <c r="D136" s="15">
        <v>136</v>
      </c>
      <c r="E136" s="15">
        <v>196</v>
      </c>
      <c r="F136" s="15">
        <v>0</v>
      </c>
      <c r="G136" s="15">
        <v>2</v>
      </c>
      <c r="H136" s="15">
        <v>169</v>
      </c>
      <c r="I136" s="15">
        <v>0</v>
      </c>
      <c r="J136" s="15">
        <v>0.1</v>
      </c>
      <c r="K136" s="15">
        <v>2</v>
      </c>
      <c r="L136" s="15">
        <v>0</v>
      </c>
      <c r="M136" s="15">
        <v>3</v>
      </c>
      <c r="N136" s="15">
        <v>0</v>
      </c>
      <c r="O136" s="17">
        <f t="shared" si="14"/>
        <v>-2.5463730842377386</v>
      </c>
      <c r="P136" s="17">
        <f t="shared" si="15"/>
        <v>7.267052296830151E-2</v>
      </c>
      <c r="Q136" s="17">
        <f t="shared" si="16"/>
        <v>0</v>
      </c>
      <c r="R136" s="17">
        <f t="shared" si="12"/>
        <v>0</v>
      </c>
      <c r="S136" s="17">
        <f t="shared" si="13"/>
        <v>0.92732947703169843</v>
      </c>
      <c r="T136" s="17">
        <f t="shared" si="17"/>
        <v>-7.5446353660373736E-2</v>
      </c>
    </row>
    <row r="137" spans="1:20" x14ac:dyDescent="0.3">
      <c r="A137" s="15">
        <v>54</v>
      </c>
      <c r="B137" s="15">
        <v>1</v>
      </c>
      <c r="C137" s="15">
        <v>4</v>
      </c>
      <c r="D137" s="15">
        <v>122</v>
      </c>
      <c r="E137" s="15">
        <v>286</v>
      </c>
      <c r="F137" s="15">
        <v>0</v>
      </c>
      <c r="G137" s="15">
        <v>2</v>
      </c>
      <c r="H137" s="15">
        <v>116</v>
      </c>
      <c r="I137" s="15">
        <v>1</v>
      </c>
      <c r="J137" s="15">
        <v>3.2</v>
      </c>
      <c r="K137" s="15">
        <v>2</v>
      </c>
      <c r="L137" s="15">
        <v>2</v>
      </c>
      <c r="M137" s="15">
        <v>3</v>
      </c>
      <c r="N137" s="15">
        <v>1</v>
      </c>
      <c r="O137" s="17">
        <f t="shared" si="14"/>
        <v>4.3258782332168852</v>
      </c>
      <c r="P137" s="17">
        <f t="shared" si="15"/>
        <v>0.98695060516960775</v>
      </c>
      <c r="Q137" s="17">
        <f t="shared" si="16"/>
        <v>1</v>
      </c>
      <c r="R137" s="17">
        <f t="shared" si="12"/>
        <v>0</v>
      </c>
      <c r="S137" s="17">
        <f t="shared" si="13"/>
        <v>0.98695060516960775</v>
      </c>
      <c r="T137" s="17">
        <f t="shared" si="17"/>
        <v>-1.3135286221832798E-2</v>
      </c>
    </row>
    <row r="138" spans="1:20" x14ac:dyDescent="0.3">
      <c r="A138" s="15">
        <v>56</v>
      </c>
      <c r="B138" s="15">
        <v>1</v>
      </c>
      <c r="C138" s="15">
        <v>4</v>
      </c>
      <c r="D138" s="15">
        <v>130</v>
      </c>
      <c r="E138" s="15">
        <v>283</v>
      </c>
      <c r="F138" s="15">
        <v>1</v>
      </c>
      <c r="G138" s="15">
        <v>2</v>
      </c>
      <c r="H138" s="15">
        <v>103</v>
      </c>
      <c r="I138" s="15">
        <v>1</v>
      </c>
      <c r="J138" s="15">
        <v>1.6</v>
      </c>
      <c r="K138" s="15">
        <v>3</v>
      </c>
      <c r="L138" s="15">
        <v>0</v>
      </c>
      <c r="M138" s="15">
        <v>7</v>
      </c>
      <c r="N138" s="15">
        <v>1</v>
      </c>
      <c r="O138" s="17">
        <f t="shared" si="14"/>
        <v>3.2131922265915396</v>
      </c>
      <c r="P138" s="17">
        <f t="shared" si="15"/>
        <v>0.96132771703700504</v>
      </c>
      <c r="Q138" s="17">
        <f t="shared" si="16"/>
        <v>1</v>
      </c>
      <c r="R138" s="17">
        <f t="shared" si="12"/>
        <v>0</v>
      </c>
      <c r="S138" s="17">
        <f t="shared" si="13"/>
        <v>0.96132771703700504</v>
      </c>
      <c r="T138" s="17">
        <f t="shared" si="17"/>
        <v>-3.9439911456988989E-2</v>
      </c>
    </row>
    <row r="139" spans="1:20" x14ac:dyDescent="0.3">
      <c r="A139" s="15">
        <v>41</v>
      </c>
      <c r="B139" s="15">
        <v>0</v>
      </c>
      <c r="C139" s="15">
        <v>2</v>
      </c>
      <c r="D139" s="15">
        <v>126</v>
      </c>
      <c r="E139" s="15">
        <v>306</v>
      </c>
      <c r="F139" s="15">
        <v>0</v>
      </c>
      <c r="G139" s="15">
        <v>0</v>
      </c>
      <c r="H139" s="15">
        <v>163</v>
      </c>
      <c r="I139" s="15">
        <v>0</v>
      </c>
      <c r="J139" s="15">
        <v>0</v>
      </c>
      <c r="K139" s="15">
        <v>1</v>
      </c>
      <c r="L139" s="15">
        <v>0</v>
      </c>
      <c r="M139" s="15">
        <v>3</v>
      </c>
      <c r="N139" s="15">
        <v>0</v>
      </c>
      <c r="O139" s="17">
        <f t="shared" si="14"/>
        <v>-4.5280846778935029</v>
      </c>
      <c r="P139" s="17">
        <f t="shared" si="15"/>
        <v>1.0685922003799279E-2</v>
      </c>
      <c r="Q139" s="17">
        <f t="shared" si="16"/>
        <v>0</v>
      </c>
      <c r="R139" s="17">
        <f t="shared" si="12"/>
        <v>0</v>
      </c>
      <c r="S139" s="17">
        <f t="shared" si="13"/>
        <v>0.98931407799620075</v>
      </c>
      <c r="T139" s="17">
        <f t="shared" si="17"/>
        <v>-1.0743426494226792E-2</v>
      </c>
    </row>
    <row r="140" spans="1:20" x14ac:dyDescent="0.3">
      <c r="A140" s="15">
        <v>67</v>
      </c>
      <c r="B140" s="15">
        <v>1</v>
      </c>
      <c r="C140" s="15">
        <v>4</v>
      </c>
      <c r="D140" s="15">
        <v>120</v>
      </c>
      <c r="E140" s="15">
        <v>237</v>
      </c>
      <c r="F140" s="15">
        <v>0</v>
      </c>
      <c r="G140" s="15">
        <v>0</v>
      </c>
      <c r="H140" s="15">
        <v>71</v>
      </c>
      <c r="I140" s="15">
        <v>0</v>
      </c>
      <c r="J140" s="15">
        <v>1</v>
      </c>
      <c r="K140" s="15">
        <v>2</v>
      </c>
      <c r="L140" s="15">
        <v>0</v>
      </c>
      <c r="M140" s="15">
        <v>3</v>
      </c>
      <c r="N140" s="15">
        <v>1</v>
      </c>
      <c r="O140" s="17">
        <f t="shared" si="14"/>
        <v>0.42429308956337231</v>
      </c>
      <c r="P140" s="17">
        <f t="shared" si="15"/>
        <v>0.60451009072665773</v>
      </c>
      <c r="Q140" s="17">
        <f t="shared" si="16"/>
        <v>1</v>
      </c>
      <c r="R140" s="17">
        <f t="shared" si="12"/>
        <v>0</v>
      </c>
      <c r="S140" s="17">
        <f t="shared" si="13"/>
        <v>0.60451009072665773</v>
      </c>
      <c r="T140" s="17">
        <f t="shared" si="17"/>
        <v>-0.50333691638396794</v>
      </c>
    </row>
    <row r="141" spans="1:20" x14ac:dyDescent="0.3">
      <c r="A141" s="15">
        <v>43</v>
      </c>
      <c r="B141" s="15">
        <v>1</v>
      </c>
      <c r="C141" s="15">
        <v>4</v>
      </c>
      <c r="D141" s="15">
        <v>115</v>
      </c>
      <c r="E141" s="15">
        <v>303</v>
      </c>
      <c r="F141" s="15">
        <v>0</v>
      </c>
      <c r="G141" s="15">
        <v>0</v>
      </c>
      <c r="H141" s="15">
        <v>181</v>
      </c>
      <c r="I141" s="15">
        <v>0</v>
      </c>
      <c r="J141" s="15">
        <v>1.2</v>
      </c>
      <c r="K141" s="15">
        <v>2</v>
      </c>
      <c r="L141" s="15">
        <v>0</v>
      </c>
      <c r="M141" s="15">
        <v>3</v>
      </c>
      <c r="N141" s="15">
        <v>0</v>
      </c>
      <c r="O141" s="17">
        <f t="shared" si="14"/>
        <v>-1.5682080890228463</v>
      </c>
      <c r="P141" s="17">
        <f t="shared" si="15"/>
        <v>0.17247199287203888</v>
      </c>
      <c r="Q141" s="17">
        <f t="shared" si="16"/>
        <v>0</v>
      </c>
      <c r="R141" s="17">
        <f t="shared" si="12"/>
        <v>0</v>
      </c>
      <c r="S141" s="17">
        <f t="shared" si="13"/>
        <v>0.82752800712796115</v>
      </c>
      <c r="T141" s="17">
        <f t="shared" si="17"/>
        <v>-0.18931232683180776</v>
      </c>
    </row>
    <row r="142" spans="1:20" x14ac:dyDescent="0.3">
      <c r="A142" s="15">
        <v>76</v>
      </c>
      <c r="B142" s="15">
        <v>0</v>
      </c>
      <c r="C142" s="15">
        <v>3</v>
      </c>
      <c r="D142" s="15">
        <v>140</v>
      </c>
      <c r="E142" s="15">
        <v>197</v>
      </c>
      <c r="F142" s="15">
        <v>0</v>
      </c>
      <c r="G142" s="15">
        <v>1</v>
      </c>
      <c r="H142" s="15">
        <v>116</v>
      </c>
      <c r="I142" s="15">
        <v>0</v>
      </c>
      <c r="J142" s="15">
        <v>1.1000000000000001</v>
      </c>
      <c r="K142" s="15">
        <v>2</v>
      </c>
      <c r="L142" s="15">
        <v>0</v>
      </c>
      <c r="M142" s="15">
        <v>3</v>
      </c>
      <c r="N142" s="15">
        <v>0</v>
      </c>
      <c r="O142" s="17">
        <f t="shared" si="14"/>
        <v>-1.5852806157709551</v>
      </c>
      <c r="P142" s="17">
        <f t="shared" si="15"/>
        <v>0.17004891762387062</v>
      </c>
      <c r="Q142" s="17">
        <f t="shared" si="16"/>
        <v>0</v>
      </c>
      <c r="R142" s="17">
        <f t="shared" si="12"/>
        <v>0</v>
      </c>
      <c r="S142" s="17">
        <f t="shared" si="13"/>
        <v>0.82995108237612936</v>
      </c>
      <c r="T142" s="17">
        <f t="shared" si="17"/>
        <v>-0.18638851682457025</v>
      </c>
    </row>
    <row r="143" spans="1:20" x14ac:dyDescent="0.3">
      <c r="A143" s="15">
        <v>40</v>
      </c>
      <c r="B143" s="15">
        <v>1</v>
      </c>
      <c r="C143" s="15">
        <v>4</v>
      </c>
      <c r="D143" s="15">
        <v>152</v>
      </c>
      <c r="E143" s="15">
        <v>223</v>
      </c>
      <c r="F143" s="15">
        <v>0</v>
      </c>
      <c r="G143" s="15">
        <v>0</v>
      </c>
      <c r="H143" s="15">
        <v>181</v>
      </c>
      <c r="I143" s="15">
        <v>0</v>
      </c>
      <c r="J143" s="15">
        <v>0</v>
      </c>
      <c r="K143" s="15">
        <v>1</v>
      </c>
      <c r="L143" s="15">
        <v>0</v>
      </c>
      <c r="M143" s="15">
        <v>7</v>
      </c>
      <c r="N143" s="15">
        <v>1</v>
      </c>
      <c r="O143" s="17">
        <f t="shared" si="14"/>
        <v>-0.50516373262547098</v>
      </c>
      <c r="P143" s="17">
        <f t="shared" si="15"/>
        <v>0.3763279420214693</v>
      </c>
      <c r="Q143" s="17">
        <f t="shared" si="16"/>
        <v>0</v>
      </c>
      <c r="R143" s="17">
        <f t="shared" si="12"/>
        <v>1</v>
      </c>
      <c r="S143" s="17">
        <f t="shared" si="13"/>
        <v>0.3763279420214693</v>
      </c>
      <c r="T143" s="17">
        <f t="shared" si="17"/>
        <v>-0.97729432949832273</v>
      </c>
    </row>
    <row r="144" spans="1:20" x14ac:dyDescent="0.3">
      <c r="A144" s="15">
        <v>71</v>
      </c>
      <c r="B144" s="15">
        <v>0</v>
      </c>
      <c r="C144" s="15">
        <v>4</v>
      </c>
      <c r="D144" s="15">
        <v>112</v>
      </c>
      <c r="E144" s="15">
        <v>149</v>
      </c>
      <c r="F144" s="15">
        <v>0</v>
      </c>
      <c r="G144" s="15">
        <v>0</v>
      </c>
      <c r="H144" s="15">
        <v>125</v>
      </c>
      <c r="I144" s="15">
        <v>0</v>
      </c>
      <c r="J144" s="15">
        <v>1.6</v>
      </c>
      <c r="K144" s="15">
        <v>2</v>
      </c>
      <c r="L144" s="15">
        <v>0</v>
      </c>
      <c r="M144" s="15">
        <v>3</v>
      </c>
      <c r="N144" s="15">
        <v>0</v>
      </c>
      <c r="O144" s="17">
        <f t="shared" si="14"/>
        <v>-1.9945889426060575</v>
      </c>
      <c r="P144" s="17">
        <f t="shared" si="15"/>
        <v>0.11977221999659436</v>
      </c>
      <c r="Q144" s="17">
        <f t="shared" si="16"/>
        <v>0</v>
      </c>
      <c r="R144" s="17">
        <f t="shared" si="12"/>
        <v>0</v>
      </c>
      <c r="S144" s="17">
        <f t="shared" si="13"/>
        <v>0.88022778000340562</v>
      </c>
      <c r="T144" s="17">
        <f t="shared" si="17"/>
        <v>-0.12757456409045353</v>
      </c>
    </row>
    <row r="145" spans="1:20" x14ac:dyDescent="0.3">
      <c r="A145" s="15">
        <v>39</v>
      </c>
      <c r="B145" s="15">
        <v>0</v>
      </c>
      <c r="C145" s="15">
        <v>3</v>
      </c>
      <c r="D145" s="15">
        <v>138</v>
      </c>
      <c r="E145" s="15">
        <v>220</v>
      </c>
      <c r="F145" s="15">
        <v>0</v>
      </c>
      <c r="G145" s="15">
        <v>0</v>
      </c>
      <c r="H145" s="15">
        <v>152</v>
      </c>
      <c r="I145" s="15">
        <v>0</v>
      </c>
      <c r="J145" s="15">
        <v>0</v>
      </c>
      <c r="K145" s="15">
        <v>2</v>
      </c>
      <c r="L145" s="15">
        <v>0</v>
      </c>
      <c r="M145" s="15">
        <v>3</v>
      </c>
      <c r="N145" s="15">
        <v>0</v>
      </c>
      <c r="O145" s="17">
        <f t="shared" si="14"/>
        <v>-2.4236952294767091</v>
      </c>
      <c r="P145" s="17">
        <f t="shared" si="15"/>
        <v>8.1383571366970664E-2</v>
      </c>
      <c r="Q145" s="17">
        <f t="shared" si="16"/>
        <v>0</v>
      </c>
      <c r="R145" s="17">
        <f t="shared" si="12"/>
        <v>0</v>
      </c>
      <c r="S145" s="17">
        <f t="shared" si="13"/>
        <v>0.91861642863302939</v>
      </c>
      <c r="T145" s="17">
        <f t="shared" si="17"/>
        <v>-8.4886622825124131E-2</v>
      </c>
    </row>
    <row r="146" spans="1:20" x14ac:dyDescent="0.3">
      <c r="A146" s="15">
        <v>61</v>
      </c>
      <c r="B146" s="15">
        <v>1</v>
      </c>
      <c r="C146" s="15">
        <v>4</v>
      </c>
      <c r="D146" s="15">
        <v>148</v>
      </c>
      <c r="E146" s="15">
        <v>203</v>
      </c>
      <c r="F146" s="15">
        <v>0</v>
      </c>
      <c r="G146" s="15">
        <v>0</v>
      </c>
      <c r="H146" s="15">
        <v>161</v>
      </c>
      <c r="I146" s="15">
        <v>0</v>
      </c>
      <c r="J146" s="15">
        <v>0</v>
      </c>
      <c r="K146" s="15">
        <v>1</v>
      </c>
      <c r="L146" s="15">
        <v>1</v>
      </c>
      <c r="M146" s="15">
        <v>7</v>
      </c>
      <c r="N146" s="15">
        <v>1</v>
      </c>
      <c r="O146" s="17">
        <f t="shared" si="14"/>
        <v>0.91328047428192782</v>
      </c>
      <c r="P146" s="17">
        <f t="shared" si="15"/>
        <v>0.71367097992820228</v>
      </c>
      <c r="Q146" s="17">
        <f t="shared" si="16"/>
        <v>1</v>
      </c>
      <c r="R146" s="17">
        <f t="shared" si="12"/>
        <v>0</v>
      </c>
      <c r="S146" s="17">
        <f t="shared" si="13"/>
        <v>0.71367097992820228</v>
      </c>
      <c r="T146" s="17">
        <f t="shared" si="17"/>
        <v>-0.33733323527471426</v>
      </c>
    </row>
    <row r="147" spans="1:20" x14ac:dyDescent="0.3">
      <c r="A147" s="15">
        <v>58</v>
      </c>
      <c r="B147" s="15">
        <v>0</v>
      </c>
      <c r="C147" s="15">
        <v>4</v>
      </c>
      <c r="D147" s="15">
        <v>170</v>
      </c>
      <c r="E147" s="15">
        <v>225</v>
      </c>
      <c r="F147" s="15">
        <v>1</v>
      </c>
      <c r="G147" s="15">
        <v>2</v>
      </c>
      <c r="H147" s="15">
        <v>146</v>
      </c>
      <c r="I147" s="15">
        <v>1</v>
      </c>
      <c r="J147" s="15">
        <v>2.8</v>
      </c>
      <c r="K147" s="15">
        <v>2</v>
      </c>
      <c r="L147" s="15">
        <v>2</v>
      </c>
      <c r="M147" s="15">
        <v>6</v>
      </c>
      <c r="N147" s="15">
        <v>1</v>
      </c>
      <c r="O147" s="17">
        <f t="shared" si="14"/>
        <v>4.392687424839707</v>
      </c>
      <c r="P147" s="17">
        <f t="shared" si="15"/>
        <v>0.98778363729645391</v>
      </c>
      <c r="Q147" s="17">
        <f t="shared" si="16"/>
        <v>1</v>
      </c>
      <c r="R147" s="17">
        <f t="shared" si="12"/>
        <v>0</v>
      </c>
      <c r="S147" s="17">
        <f t="shared" si="13"/>
        <v>0.98778363729645391</v>
      </c>
      <c r="T147" s="17">
        <f t="shared" si="17"/>
        <v>-1.2291595806843603E-2</v>
      </c>
    </row>
    <row r="148" spans="1:20" x14ac:dyDescent="0.3">
      <c r="A148" s="15">
        <v>55</v>
      </c>
      <c r="B148" s="15">
        <v>0</v>
      </c>
      <c r="C148" s="15">
        <v>2</v>
      </c>
      <c r="D148" s="15">
        <v>132</v>
      </c>
      <c r="E148" s="15">
        <v>342</v>
      </c>
      <c r="F148" s="15">
        <v>0</v>
      </c>
      <c r="G148" s="15">
        <v>0</v>
      </c>
      <c r="H148" s="15">
        <v>166</v>
      </c>
      <c r="I148" s="15">
        <v>0</v>
      </c>
      <c r="J148" s="15">
        <v>1.2</v>
      </c>
      <c r="K148" s="15">
        <v>1</v>
      </c>
      <c r="L148" s="15">
        <v>0</v>
      </c>
      <c r="M148" s="15">
        <v>3</v>
      </c>
      <c r="N148" s="15">
        <v>0</v>
      </c>
      <c r="O148" s="17">
        <f t="shared" si="14"/>
        <v>-4.2006486083872971</v>
      </c>
      <c r="P148" s="17">
        <f t="shared" si="15"/>
        <v>1.4764593676139647E-2</v>
      </c>
      <c r="Q148" s="17">
        <f t="shared" si="16"/>
        <v>0</v>
      </c>
      <c r="R148" s="17">
        <f t="shared" si="12"/>
        <v>0</v>
      </c>
      <c r="S148" s="17">
        <f t="shared" si="13"/>
        <v>0.98523540632386031</v>
      </c>
      <c r="T148" s="17">
        <f t="shared" si="17"/>
        <v>-1.487467517215736E-2</v>
      </c>
    </row>
    <row r="149" spans="1:20" x14ac:dyDescent="0.3">
      <c r="A149" s="15">
        <v>44</v>
      </c>
      <c r="B149" s="15">
        <v>1</v>
      </c>
      <c r="C149" s="15">
        <v>4</v>
      </c>
      <c r="D149" s="15">
        <v>120</v>
      </c>
      <c r="E149" s="15">
        <v>169</v>
      </c>
      <c r="F149" s="15">
        <v>0</v>
      </c>
      <c r="G149" s="15">
        <v>0</v>
      </c>
      <c r="H149" s="15">
        <v>144</v>
      </c>
      <c r="I149" s="15">
        <v>1</v>
      </c>
      <c r="J149" s="15">
        <v>2.8</v>
      </c>
      <c r="K149" s="15">
        <v>3</v>
      </c>
      <c r="L149" s="15">
        <v>0</v>
      </c>
      <c r="M149" s="15">
        <v>6</v>
      </c>
      <c r="N149" s="15">
        <v>1</v>
      </c>
      <c r="O149" s="17">
        <f t="shared" si="14"/>
        <v>1.8859522975087053</v>
      </c>
      <c r="P149" s="17">
        <f t="shared" si="15"/>
        <v>0.86829332485625488</v>
      </c>
      <c r="Q149" s="17">
        <f t="shared" si="16"/>
        <v>1</v>
      </c>
      <c r="R149" s="17">
        <f t="shared" si="12"/>
        <v>0</v>
      </c>
      <c r="S149" s="17">
        <f t="shared" si="13"/>
        <v>0.86829332485625488</v>
      </c>
      <c r="T149" s="17">
        <f t="shared" si="17"/>
        <v>-0.14122568954585332</v>
      </c>
    </row>
    <row r="150" spans="1:20" x14ac:dyDescent="0.3">
      <c r="A150" s="15">
        <v>59</v>
      </c>
      <c r="B150" s="15">
        <v>1</v>
      </c>
      <c r="C150" s="15">
        <v>4</v>
      </c>
      <c r="D150" s="15">
        <v>164</v>
      </c>
      <c r="E150" s="15">
        <v>176</v>
      </c>
      <c r="F150" s="15">
        <v>1</v>
      </c>
      <c r="G150" s="15">
        <v>2</v>
      </c>
      <c r="H150" s="15">
        <v>90</v>
      </c>
      <c r="I150" s="15">
        <v>0</v>
      </c>
      <c r="J150" s="15">
        <v>1</v>
      </c>
      <c r="K150" s="15">
        <v>2</v>
      </c>
      <c r="L150" s="15">
        <v>2</v>
      </c>
      <c r="M150" s="15">
        <v>6</v>
      </c>
      <c r="N150" s="15">
        <v>1</v>
      </c>
      <c r="O150" s="17">
        <f t="shared" si="14"/>
        <v>5.0235110173758564</v>
      </c>
      <c r="P150" s="17">
        <f t="shared" si="15"/>
        <v>0.99346165257936747</v>
      </c>
      <c r="Q150" s="17">
        <f t="shared" si="16"/>
        <v>1</v>
      </c>
      <c r="R150" s="17">
        <f t="shared" si="12"/>
        <v>0</v>
      </c>
      <c r="S150" s="17">
        <f t="shared" si="13"/>
        <v>0.99346165257936747</v>
      </c>
      <c r="T150" s="17">
        <f t="shared" si="17"/>
        <v>-6.5598160448446588E-3</v>
      </c>
    </row>
    <row r="151" spans="1:20" x14ac:dyDescent="0.3">
      <c r="A151" s="15">
        <v>57</v>
      </c>
      <c r="B151" s="15">
        <v>1</v>
      </c>
      <c r="C151" s="15">
        <v>4</v>
      </c>
      <c r="D151" s="15">
        <v>130</v>
      </c>
      <c r="E151" s="15">
        <v>131</v>
      </c>
      <c r="F151" s="15">
        <v>0</v>
      </c>
      <c r="G151" s="15">
        <v>0</v>
      </c>
      <c r="H151" s="15">
        <v>115</v>
      </c>
      <c r="I151" s="15">
        <v>1</v>
      </c>
      <c r="J151" s="15">
        <v>1.2</v>
      </c>
      <c r="K151" s="15">
        <v>2</v>
      </c>
      <c r="L151" s="15">
        <v>1</v>
      </c>
      <c r="M151" s="15">
        <v>7</v>
      </c>
      <c r="N151" s="15">
        <v>1</v>
      </c>
      <c r="O151" s="17">
        <f t="shared" si="14"/>
        <v>3.0535995512789942</v>
      </c>
      <c r="P151" s="17">
        <f t="shared" si="15"/>
        <v>0.95493767526896944</v>
      </c>
      <c r="Q151" s="17">
        <f t="shared" si="16"/>
        <v>1</v>
      </c>
      <c r="R151" s="17">
        <f t="shared" si="12"/>
        <v>0</v>
      </c>
      <c r="S151" s="17">
        <f t="shared" si="13"/>
        <v>0.95493767526896944</v>
      </c>
      <c r="T151" s="17">
        <f t="shared" si="17"/>
        <v>-4.6109202129492363E-2</v>
      </c>
    </row>
    <row r="152" spans="1:20" x14ac:dyDescent="0.3">
      <c r="A152" s="15">
        <v>63</v>
      </c>
      <c r="B152" s="15">
        <v>1</v>
      </c>
      <c r="C152" s="15">
        <v>4</v>
      </c>
      <c r="D152" s="15">
        <v>130</v>
      </c>
      <c r="E152" s="15">
        <v>254</v>
      </c>
      <c r="F152" s="15">
        <v>0</v>
      </c>
      <c r="G152" s="15">
        <v>2</v>
      </c>
      <c r="H152" s="15">
        <v>147</v>
      </c>
      <c r="I152" s="15">
        <v>0</v>
      </c>
      <c r="J152" s="15">
        <v>1.4</v>
      </c>
      <c r="K152" s="15">
        <v>2</v>
      </c>
      <c r="L152" s="15">
        <v>1</v>
      </c>
      <c r="M152" s="15">
        <v>7</v>
      </c>
      <c r="N152" s="15">
        <v>1</v>
      </c>
      <c r="O152" s="17">
        <f t="shared" si="14"/>
        <v>2.4082771444305013</v>
      </c>
      <c r="P152" s="17">
        <f t="shared" si="15"/>
        <v>0.91745630341803108</v>
      </c>
      <c r="Q152" s="17">
        <f t="shared" si="16"/>
        <v>1</v>
      </c>
      <c r="R152" s="17">
        <f t="shared" ref="R152:R215" si="18">IF(N152=Q152, 0, 1)</f>
        <v>0</v>
      </c>
      <c r="S152" s="17">
        <f t="shared" ref="S152:S215" si="19">IF(N152=1, P152, 1-P152)</f>
        <v>0.91745630341803108</v>
      </c>
      <c r="T152" s="17">
        <f t="shared" si="17"/>
        <v>-8.6150325889969931E-2</v>
      </c>
    </row>
    <row r="153" spans="1:20" x14ac:dyDescent="0.3">
      <c r="A153" s="15">
        <v>44</v>
      </c>
      <c r="B153" s="15">
        <v>1</v>
      </c>
      <c r="C153" s="15">
        <v>2</v>
      </c>
      <c r="D153" s="15">
        <v>120</v>
      </c>
      <c r="E153" s="15">
        <v>263</v>
      </c>
      <c r="F153" s="15">
        <v>0</v>
      </c>
      <c r="G153" s="15">
        <v>0</v>
      </c>
      <c r="H153" s="15">
        <v>173</v>
      </c>
      <c r="I153" s="15">
        <v>0</v>
      </c>
      <c r="J153" s="15">
        <v>0</v>
      </c>
      <c r="K153" s="15">
        <v>1</v>
      </c>
      <c r="L153" s="15">
        <v>0</v>
      </c>
      <c r="M153" s="15">
        <v>7</v>
      </c>
      <c r="N153" s="15">
        <v>0</v>
      </c>
      <c r="O153" s="17">
        <f t="shared" si="14"/>
        <v>-2.9400400677674901</v>
      </c>
      <c r="P153" s="17">
        <f t="shared" si="15"/>
        <v>5.0209362388815452E-2</v>
      </c>
      <c r="Q153" s="17">
        <f t="shared" si="16"/>
        <v>0</v>
      </c>
      <c r="R153" s="17">
        <f t="shared" si="18"/>
        <v>0</v>
      </c>
      <c r="S153" s="17">
        <f t="shared" si="19"/>
        <v>0.94979063761118454</v>
      </c>
      <c r="T153" s="17">
        <f t="shared" si="17"/>
        <v>-5.1513700137024339E-2</v>
      </c>
    </row>
    <row r="154" spans="1:20" x14ac:dyDescent="0.3">
      <c r="A154" s="15">
        <v>58</v>
      </c>
      <c r="B154" s="15">
        <v>0</v>
      </c>
      <c r="C154" s="15">
        <v>3</v>
      </c>
      <c r="D154" s="15">
        <v>120</v>
      </c>
      <c r="E154" s="15">
        <v>340</v>
      </c>
      <c r="F154" s="15">
        <v>0</v>
      </c>
      <c r="G154" s="15">
        <v>0</v>
      </c>
      <c r="H154" s="15">
        <v>172</v>
      </c>
      <c r="I154" s="15">
        <v>0</v>
      </c>
      <c r="J154" s="15">
        <v>0</v>
      </c>
      <c r="K154" s="15">
        <v>1</v>
      </c>
      <c r="L154" s="15">
        <v>0</v>
      </c>
      <c r="M154" s="15">
        <v>3</v>
      </c>
      <c r="N154" s="15">
        <v>0</v>
      </c>
      <c r="O154" s="17">
        <f t="shared" si="14"/>
        <v>-4.1756527930182843</v>
      </c>
      <c r="P154" s="17">
        <f t="shared" si="15"/>
        <v>1.5132642665310976E-2</v>
      </c>
      <c r="Q154" s="17">
        <f t="shared" si="16"/>
        <v>0</v>
      </c>
      <c r="R154" s="17">
        <f t="shared" si="18"/>
        <v>0</v>
      </c>
      <c r="S154" s="17">
        <f t="shared" si="19"/>
        <v>0.984867357334689</v>
      </c>
      <c r="T154" s="17">
        <f t="shared" si="17"/>
        <v>-1.5248309482247405E-2</v>
      </c>
    </row>
    <row r="155" spans="1:20" x14ac:dyDescent="0.3">
      <c r="A155" s="15">
        <v>66</v>
      </c>
      <c r="B155" s="15">
        <v>0</v>
      </c>
      <c r="C155" s="15">
        <v>1</v>
      </c>
      <c r="D155" s="15">
        <v>150</v>
      </c>
      <c r="E155" s="15">
        <v>226</v>
      </c>
      <c r="F155" s="15">
        <v>0</v>
      </c>
      <c r="G155" s="15">
        <v>0</v>
      </c>
      <c r="H155" s="15">
        <v>114</v>
      </c>
      <c r="I155" s="15">
        <v>0</v>
      </c>
      <c r="J155" s="15">
        <v>2.6</v>
      </c>
      <c r="K155" s="15">
        <v>3</v>
      </c>
      <c r="L155" s="15">
        <v>0</v>
      </c>
      <c r="M155" s="15">
        <v>3</v>
      </c>
      <c r="N155" s="15">
        <v>0</v>
      </c>
      <c r="O155" s="17">
        <f t="shared" si="14"/>
        <v>-1.758720885031293</v>
      </c>
      <c r="P155" s="17">
        <f t="shared" si="15"/>
        <v>0.14695061230405651</v>
      </c>
      <c r="Q155" s="17">
        <f t="shared" si="16"/>
        <v>0</v>
      </c>
      <c r="R155" s="17">
        <f t="shared" si="18"/>
        <v>0</v>
      </c>
      <c r="S155" s="17">
        <f t="shared" si="19"/>
        <v>0.85304938769594352</v>
      </c>
      <c r="T155" s="17">
        <f t="shared" si="17"/>
        <v>-0.15893783434361858</v>
      </c>
    </row>
    <row r="156" spans="1:20" x14ac:dyDescent="0.3">
      <c r="A156" s="15">
        <v>64</v>
      </c>
      <c r="B156" s="15">
        <v>1</v>
      </c>
      <c r="C156" s="15">
        <v>3</v>
      </c>
      <c r="D156" s="15">
        <v>140</v>
      </c>
      <c r="E156" s="15">
        <v>335</v>
      </c>
      <c r="F156" s="15">
        <v>0</v>
      </c>
      <c r="G156" s="15">
        <v>0</v>
      </c>
      <c r="H156" s="15">
        <v>158</v>
      </c>
      <c r="I156" s="15">
        <v>0</v>
      </c>
      <c r="J156" s="15">
        <v>0</v>
      </c>
      <c r="K156" s="15">
        <v>1</v>
      </c>
      <c r="L156" s="15">
        <v>0</v>
      </c>
      <c r="M156" s="15">
        <v>3</v>
      </c>
      <c r="N156" s="15">
        <v>1</v>
      </c>
      <c r="O156" s="17">
        <f t="shared" si="14"/>
        <v>-2.4310837837149082</v>
      </c>
      <c r="P156" s="17">
        <f t="shared" si="15"/>
        <v>8.0832906636064891E-2</v>
      </c>
      <c r="Q156" s="17">
        <f t="shared" si="16"/>
        <v>0</v>
      </c>
      <c r="R156" s="17">
        <f t="shared" si="18"/>
        <v>1</v>
      </c>
      <c r="S156" s="17">
        <f t="shared" si="19"/>
        <v>8.0832906636064891E-2</v>
      </c>
      <c r="T156" s="17">
        <f t="shared" si="17"/>
        <v>-2.5153711360157356</v>
      </c>
    </row>
    <row r="157" spans="1:20" x14ac:dyDescent="0.3">
      <c r="A157" s="15">
        <v>57</v>
      </c>
      <c r="B157" s="15">
        <v>1</v>
      </c>
      <c r="C157" s="15">
        <v>4</v>
      </c>
      <c r="D157" s="15">
        <v>150</v>
      </c>
      <c r="E157" s="15">
        <v>276</v>
      </c>
      <c r="F157" s="15">
        <v>0</v>
      </c>
      <c r="G157" s="15">
        <v>2</v>
      </c>
      <c r="H157" s="15">
        <v>112</v>
      </c>
      <c r="I157" s="15">
        <v>1</v>
      </c>
      <c r="J157" s="15">
        <v>0.6</v>
      </c>
      <c r="K157" s="15">
        <v>2</v>
      </c>
      <c r="L157" s="15">
        <v>1</v>
      </c>
      <c r="M157" s="15">
        <v>6</v>
      </c>
      <c r="N157" s="15">
        <v>1</v>
      </c>
      <c r="O157" s="17">
        <f t="shared" si="14"/>
        <v>4.1306619037797478</v>
      </c>
      <c r="P157" s="17">
        <f t="shared" si="15"/>
        <v>0.98418199371960946</v>
      </c>
      <c r="Q157" s="17">
        <f t="shared" si="16"/>
        <v>1</v>
      </c>
      <c r="R157" s="17">
        <f t="shared" si="18"/>
        <v>0</v>
      </c>
      <c r="S157" s="17">
        <f t="shared" si="19"/>
        <v>0.98418199371960946</v>
      </c>
      <c r="T157" s="17">
        <f t="shared" si="17"/>
        <v>-1.5944446064492222E-2</v>
      </c>
    </row>
    <row r="158" spans="1:20" x14ac:dyDescent="0.3">
      <c r="A158" s="15">
        <v>40</v>
      </c>
      <c r="B158" s="15">
        <v>1</v>
      </c>
      <c r="C158" s="15">
        <v>1</v>
      </c>
      <c r="D158" s="15">
        <v>140</v>
      </c>
      <c r="E158" s="15">
        <v>199</v>
      </c>
      <c r="F158" s="15">
        <v>0</v>
      </c>
      <c r="G158" s="15">
        <v>0</v>
      </c>
      <c r="H158" s="15">
        <v>178</v>
      </c>
      <c r="I158" s="15">
        <v>1</v>
      </c>
      <c r="J158" s="15">
        <v>1.4</v>
      </c>
      <c r="K158" s="15">
        <v>1</v>
      </c>
      <c r="L158" s="15">
        <v>0</v>
      </c>
      <c r="M158" s="15">
        <v>7</v>
      </c>
      <c r="N158" s="15">
        <v>0</v>
      </c>
      <c r="O158" s="17">
        <f t="shared" si="14"/>
        <v>-2.3232106091166589</v>
      </c>
      <c r="P158" s="17">
        <f t="shared" si="15"/>
        <v>8.9218824699006868E-2</v>
      </c>
      <c r="Q158" s="17">
        <f t="shared" si="16"/>
        <v>0</v>
      </c>
      <c r="R158" s="17">
        <f t="shared" si="18"/>
        <v>0</v>
      </c>
      <c r="S158" s="17">
        <f t="shared" si="19"/>
        <v>0.91078117530099312</v>
      </c>
      <c r="T158" s="17">
        <f t="shared" si="17"/>
        <v>-9.3452613318625116E-2</v>
      </c>
    </row>
    <row r="159" spans="1:20" x14ac:dyDescent="0.3">
      <c r="A159" s="15">
        <v>41</v>
      </c>
      <c r="B159" s="15">
        <v>0</v>
      </c>
      <c r="C159" s="15">
        <v>2</v>
      </c>
      <c r="D159" s="15">
        <v>105</v>
      </c>
      <c r="E159" s="15">
        <v>198</v>
      </c>
      <c r="F159" s="15">
        <v>0</v>
      </c>
      <c r="G159" s="15">
        <v>0</v>
      </c>
      <c r="H159" s="15">
        <v>168</v>
      </c>
      <c r="I159" s="15">
        <v>0</v>
      </c>
      <c r="J159" s="15">
        <v>0</v>
      </c>
      <c r="K159" s="15">
        <v>1</v>
      </c>
      <c r="L159" s="15">
        <v>1</v>
      </c>
      <c r="M159" s="15">
        <v>3</v>
      </c>
      <c r="N159" s="15">
        <v>0</v>
      </c>
      <c r="O159" s="17">
        <f t="shared" si="14"/>
        <v>-4.1430834626650261</v>
      </c>
      <c r="P159" s="17">
        <f t="shared" si="15"/>
        <v>1.5625788499747398E-2</v>
      </c>
      <c r="Q159" s="17">
        <f t="shared" si="16"/>
        <v>0</v>
      </c>
      <c r="R159" s="17">
        <f t="shared" si="18"/>
        <v>0</v>
      </c>
      <c r="S159" s="17">
        <f t="shared" si="19"/>
        <v>0.98437421150025262</v>
      </c>
      <c r="T159" s="17">
        <f t="shared" si="17"/>
        <v>-1.5749157984076372E-2</v>
      </c>
    </row>
    <row r="160" spans="1:20" x14ac:dyDescent="0.3">
      <c r="A160" s="15">
        <v>65</v>
      </c>
      <c r="B160" s="15">
        <v>1</v>
      </c>
      <c r="C160" s="15">
        <v>4</v>
      </c>
      <c r="D160" s="15">
        <v>120</v>
      </c>
      <c r="E160" s="15">
        <v>177</v>
      </c>
      <c r="F160" s="15">
        <v>0</v>
      </c>
      <c r="G160" s="15">
        <v>0</v>
      </c>
      <c r="H160" s="15">
        <v>140</v>
      </c>
      <c r="I160" s="15">
        <v>0</v>
      </c>
      <c r="J160" s="15">
        <v>0.4</v>
      </c>
      <c r="K160" s="15">
        <v>1</v>
      </c>
      <c r="L160" s="15">
        <v>0</v>
      </c>
      <c r="M160" s="15">
        <v>7</v>
      </c>
      <c r="N160" s="15">
        <v>0</v>
      </c>
      <c r="O160" s="17">
        <f t="shared" si="14"/>
        <v>-0.93388476243122209</v>
      </c>
      <c r="P160" s="17">
        <f t="shared" si="15"/>
        <v>0.28213724548158808</v>
      </c>
      <c r="Q160" s="17">
        <f t="shared" si="16"/>
        <v>0</v>
      </c>
      <c r="R160" s="17">
        <f t="shared" si="18"/>
        <v>0</v>
      </c>
      <c r="S160" s="17">
        <f t="shared" si="19"/>
        <v>0.71786275451841197</v>
      </c>
      <c r="T160" s="17">
        <f t="shared" si="17"/>
        <v>-0.33147687790114944</v>
      </c>
    </row>
    <row r="161" spans="1:20" x14ac:dyDescent="0.3">
      <c r="A161" s="15">
        <v>41</v>
      </c>
      <c r="B161" s="15">
        <v>1</v>
      </c>
      <c r="C161" s="15">
        <v>4</v>
      </c>
      <c r="D161" s="15">
        <v>110</v>
      </c>
      <c r="E161" s="15">
        <v>172</v>
      </c>
      <c r="F161" s="15">
        <v>0</v>
      </c>
      <c r="G161" s="15">
        <v>2</v>
      </c>
      <c r="H161" s="15">
        <v>158</v>
      </c>
      <c r="I161" s="15">
        <v>0</v>
      </c>
      <c r="J161" s="15">
        <v>0</v>
      </c>
      <c r="K161" s="15">
        <v>1</v>
      </c>
      <c r="L161" s="15">
        <v>0</v>
      </c>
      <c r="M161" s="15">
        <v>7</v>
      </c>
      <c r="N161" s="15">
        <v>1</v>
      </c>
      <c r="O161" s="17">
        <f t="shared" si="14"/>
        <v>-0.97858868287008693</v>
      </c>
      <c r="P161" s="17">
        <f t="shared" si="15"/>
        <v>0.27317190956605419</v>
      </c>
      <c r="Q161" s="17">
        <f t="shared" si="16"/>
        <v>0</v>
      </c>
      <c r="R161" s="17">
        <f t="shared" si="18"/>
        <v>1</v>
      </c>
      <c r="S161" s="17">
        <f t="shared" si="19"/>
        <v>0.27317190956605419</v>
      </c>
      <c r="T161" s="17">
        <f t="shared" si="17"/>
        <v>-1.2976539766082491</v>
      </c>
    </row>
    <row r="162" spans="1:20" x14ac:dyDescent="0.3">
      <c r="A162" s="15">
        <v>60</v>
      </c>
      <c r="B162" s="15">
        <v>1</v>
      </c>
      <c r="C162" s="15">
        <v>4</v>
      </c>
      <c r="D162" s="15">
        <v>145</v>
      </c>
      <c r="E162" s="15">
        <v>282</v>
      </c>
      <c r="F162" s="15">
        <v>0</v>
      </c>
      <c r="G162" s="15">
        <v>2</v>
      </c>
      <c r="H162" s="15">
        <v>142</v>
      </c>
      <c r="I162" s="15">
        <v>1</v>
      </c>
      <c r="J162" s="15">
        <v>2.8</v>
      </c>
      <c r="K162" s="15">
        <v>2</v>
      </c>
      <c r="L162" s="15">
        <v>2</v>
      </c>
      <c r="M162" s="15">
        <v>7</v>
      </c>
      <c r="N162" s="15">
        <v>1</v>
      </c>
      <c r="O162" s="17">
        <f t="shared" si="14"/>
        <v>5.5348025934832918</v>
      </c>
      <c r="P162" s="17">
        <f t="shared" si="15"/>
        <v>0.99606852974463589</v>
      </c>
      <c r="Q162" s="17">
        <f t="shared" si="16"/>
        <v>1</v>
      </c>
      <c r="R162" s="17">
        <f t="shared" si="18"/>
        <v>0</v>
      </c>
      <c r="S162" s="17">
        <f t="shared" si="19"/>
        <v>0.99606852974463589</v>
      </c>
      <c r="T162" s="17">
        <f t="shared" si="17"/>
        <v>-3.939218799997952E-3</v>
      </c>
    </row>
    <row r="163" spans="1:20" x14ac:dyDescent="0.3">
      <c r="A163" s="15">
        <v>46</v>
      </c>
      <c r="B163" s="15">
        <v>1</v>
      </c>
      <c r="C163" s="15">
        <v>3</v>
      </c>
      <c r="D163" s="15">
        <v>150</v>
      </c>
      <c r="E163" s="15">
        <v>231</v>
      </c>
      <c r="F163" s="15">
        <v>0</v>
      </c>
      <c r="G163" s="15">
        <v>0</v>
      </c>
      <c r="H163" s="15">
        <v>147</v>
      </c>
      <c r="I163" s="15">
        <v>0</v>
      </c>
      <c r="J163" s="15">
        <v>3.6</v>
      </c>
      <c r="K163" s="15">
        <v>2</v>
      </c>
      <c r="L163" s="15">
        <v>0</v>
      </c>
      <c r="M163" s="15">
        <v>3</v>
      </c>
      <c r="N163" s="15">
        <v>1</v>
      </c>
      <c r="O163" s="17">
        <f t="shared" si="14"/>
        <v>-0.26912515097340872</v>
      </c>
      <c r="P163" s="17">
        <f t="shared" si="15"/>
        <v>0.43312188178859345</v>
      </c>
      <c r="Q163" s="17">
        <f t="shared" si="16"/>
        <v>0</v>
      </c>
      <c r="R163" s="17">
        <f t="shared" si="18"/>
        <v>1</v>
      </c>
      <c r="S163" s="17">
        <f t="shared" si="19"/>
        <v>0.43312188178859345</v>
      </c>
      <c r="T163" s="17">
        <f t="shared" si="17"/>
        <v>-0.8367361083975795</v>
      </c>
    </row>
    <row r="164" spans="1:20" x14ac:dyDescent="0.3">
      <c r="A164" s="15">
        <v>67</v>
      </c>
      <c r="B164" s="15">
        <v>1</v>
      </c>
      <c r="C164" s="15">
        <v>4</v>
      </c>
      <c r="D164" s="15">
        <v>125</v>
      </c>
      <c r="E164" s="15">
        <v>254</v>
      </c>
      <c r="F164" s="15">
        <v>1</v>
      </c>
      <c r="G164" s="15">
        <v>0</v>
      </c>
      <c r="H164" s="15">
        <v>163</v>
      </c>
      <c r="I164" s="15">
        <v>0</v>
      </c>
      <c r="J164" s="15">
        <v>0.2</v>
      </c>
      <c r="K164" s="15">
        <v>2</v>
      </c>
      <c r="L164" s="15">
        <v>2</v>
      </c>
      <c r="M164" s="15">
        <v>7</v>
      </c>
      <c r="N164" s="15">
        <v>1</v>
      </c>
      <c r="O164" s="17">
        <f t="shared" si="14"/>
        <v>2.027215960777637</v>
      </c>
      <c r="P164" s="17">
        <f t="shared" si="15"/>
        <v>0.88362509582730453</v>
      </c>
      <c r="Q164" s="17">
        <f t="shared" si="16"/>
        <v>1</v>
      </c>
      <c r="R164" s="17">
        <f t="shared" si="18"/>
        <v>0</v>
      </c>
      <c r="S164" s="17">
        <f t="shared" si="19"/>
        <v>0.88362509582730453</v>
      </c>
      <c r="T164" s="17">
        <f t="shared" si="17"/>
        <v>-0.12372240604309212</v>
      </c>
    </row>
    <row r="165" spans="1:20" x14ac:dyDescent="0.3">
      <c r="A165" s="15">
        <v>58</v>
      </c>
      <c r="B165" s="15">
        <v>1</v>
      </c>
      <c r="C165" s="15">
        <v>4</v>
      </c>
      <c r="D165" s="15">
        <v>150</v>
      </c>
      <c r="E165" s="15">
        <v>270</v>
      </c>
      <c r="F165" s="15">
        <v>0</v>
      </c>
      <c r="G165" s="15">
        <v>2</v>
      </c>
      <c r="H165" s="15">
        <v>111</v>
      </c>
      <c r="I165" s="15">
        <v>1</v>
      </c>
      <c r="J165" s="15">
        <v>0.8</v>
      </c>
      <c r="K165" s="15">
        <v>1</v>
      </c>
      <c r="L165" s="15">
        <v>0</v>
      </c>
      <c r="M165" s="15">
        <v>7</v>
      </c>
      <c r="N165" s="15">
        <v>1</v>
      </c>
      <c r="O165" s="17">
        <f t="shared" si="14"/>
        <v>2.211589372643564</v>
      </c>
      <c r="P165" s="17">
        <f t="shared" si="15"/>
        <v>0.90128542353570307</v>
      </c>
      <c r="Q165" s="17">
        <f t="shared" si="16"/>
        <v>1</v>
      </c>
      <c r="R165" s="17">
        <f t="shared" si="18"/>
        <v>0</v>
      </c>
      <c r="S165" s="17">
        <f t="shared" si="19"/>
        <v>0.90128542353570307</v>
      </c>
      <c r="T165" s="17">
        <f t="shared" si="17"/>
        <v>-0.10393328626141134</v>
      </c>
    </row>
    <row r="166" spans="1:20" x14ac:dyDescent="0.3">
      <c r="A166" s="15">
        <v>45</v>
      </c>
      <c r="B166" s="15">
        <v>1</v>
      </c>
      <c r="C166" s="15">
        <v>4</v>
      </c>
      <c r="D166" s="15">
        <v>104</v>
      </c>
      <c r="E166" s="15">
        <v>208</v>
      </c>
      <c r="F166" s="15">
        <v>0</v>
      </c>
      <c r="G166" s="15">
        <v>2</v>
      </c>
      <c r="H166" s="15">
        <v>148</v>
      </c>
      <c r="I166" s="15">
        <v>1</v>
      </c>
      <c r="J166" s="15">
        <v>3</v>
      </c>
      <c r="K166" s="15">
        <v>2</v>
      </c>
      <c r="L166" s="15">
        <v>0</v>
      </c>
      <c r="M166" s="15">
        <v>3</v>
      </c>
      <c r="N166" s="15">
        <v>0</v>
      </c>
      <c r="O166" s="17">
        <f t="shared" si="14"/>
        <v>0.14878932695916447</v>
      </c>
      <c r="P166" s="17">
        <f t="shared" si="15"/>
        <v>0.53712885962589063</v>
      </c>
      <c r="Q166" s="17">
        <f t="shared" si="16"/>
        <v>1</v>
      </c>
      <c r="R166" s="17">
        <f t="shared" si="18"/>
        <v>1</v>
      </c>
      <c r="S166" s="17">
        <f t="shared" si="19"/>
        <v>0.46287114037410937</v>
      </c>
      <c r="T166" s="17">
        <f t="shared" si="17"/>
        <v>-0.77030657815934001</v>
      </c>
    </row>
    <row r="167" spans="1:20" x14ac:dyDescent="0.3">
      <c r="A167" s="15">
        <v>53</v>
      </c>
      <c r="B167" s="15">
        <v>0</v>
      </c>
      <c r="C167" s="15">
        <v>4</v>
      </c>
      <c r="D167" s="15">
        <v>130</v>
      </c>
      <c r="E167" s="15">
        <v>264</v>
      </c>
      <c r="F167" s="15">
        <v>0</v>
      </c>
      <c r="G167" s="15">
        <v>2</v>
      </c>
      <c r="H167" s="15">
        <v>143</v>
      </c>
      <c r="I167" s="15">
        <v>0</v>
      </c>
      <c r="J167" s="15">
        <v>0.4</v>
      </c>
      <c r="K167" s="15">
        <v>2</v>
      </c>
      <c r="L167" s="15">
        <v>0</v>
      </c>
      <c r="M167" s="15">
        <v>3</v>
      </c>
      <c r="N167" s="15">
        <v>0</v>
      </c>
      <c r="O167" s="17">
        <f t="shared" si="14"/>
        <v>-1.1271335685782482</v>
      </c>
      <c r="P167" s="17">
        <f t="shared" si="15"/>
        <v>0.24469047852413928</v>
      </c>
      <c r="Q167" s="17">
        <f t="shared" si="16"/>
        <v>0</v>
      </c>
      <c r="R167" s="17">
        <f t="shared" si="18"/>
        <v>0</v>
      </c>
      <c r="S167" s="17">
        <f t="shared" si="19"/>
        <v>0.75530952147586072</v>
      </c>
      <c r="T167" s="17">
        <f t="shared" si="17"/>
        <v>-0.28062765152497982</v>
      </c>
    </row>
    <row r="168" spans="1:20" x14ac:dyDescent="0.3">
      <c r="A168" s="15">
        <v>47</v>
      </c>
      <c r="B168" s="15">
        <v>1</v>
      </c>
      <c r="C168" s="15">
        <v>3</v>
      </c>
      <c r="D168" s="15">
        <v>138</v>
      </c>
      <c r="E168" s="15">
        <v>257</v>
      </c>
      <c r="F168" s="15">
        <v>0</v>
      </c>
      <c r="G168" s="15">
        <v>2</v>
      </c>
      <c r="H168" s="15">
        <v>156</v>
      </c>
      <c r="I168" s="15">
        <v>0</v>
      </c>
      <c r="J168" s="15">
        <v>0</v>
      </c>
      <c r="K168" s="15">
        <v>1</v>
      </c>
      <c r="L168" s="15">
        <v>0</v>
      </c>
      <c r="M168" s="15">
        <v>3</v>
      </c>
      <c r="N168" s="15">
        <v>0</v>
      </c>
      <c r="O168" s="17">
        <f t="shared" si="14"/>
        <v>-1.9744921699086655</v>
      </c>
      <c r="P168" s="17">
        <f t="shared" si="15"/>
        <v>0.12190720142925304</v>
      </c>
      <c r="Q168" s="17">
        <f t="shared" si="16"/>
        <v>0</v>
      </c>
      <c r="R168" s="17">
        <f t="shared" si="18"/>
        <v>0</v>
      </c>
      <c r="S168" s="17">
        <f t="shared" si="19"/>
        <v>0.87809279857074696</v>
      </c>
      <c r="T168" s="17">
        <f t="shared" si="17"/>
        <v>-0.13000299779917684</v>
      </c>
    </row>
    <row r="169" spans="1:20" x14ac:dyDescent="0.3">
      <c r="A169" s="15">
        <v>51</v>
      </c>
      <c r="B169" s="15">
        <v>0</v>
      </c>
      <c r="C169" s="15">
        <v>3</v>
      </c>
      <c r="D169" s="15">
        <v>130</v>
      </c>
      <c r="E169" s="15">
        <v>256</v>
      </c>
      <c r="F169" s="15">
        <v>0</v>
      </c>
      <c r="G169" s="15">
        <v>2</v>
      </c>
      <c r="H169" s="15">
        <v>149</v>
      </c>
      <c r="I169" s="15">
        <v>0</v>
      </c>
      <c r="J169" s="15">
        <v>0.5</v>
      </c>
      <c r="K169" s="15">
        <v>1</v>
      </c>
      <c r="L169" s="15">
        <v>0</v>
      </c>
      <c r="M169" s="15">
        <v>3</v>
      </c>
      <c r="N169" s="15">
        <v>0</v>
      </c>
      <c r="O169" s="17">
        <f t="shared" si="14"/>
        <v>-2.91901102268816</v>
      </c>
      <c r="P169" s="17">
        <f t="shared" si="15"/>
        <v>5.1221741984741581E-2</v>
      </c>
      <c r="Q169" s="17">
        <f t="shared" si="16"/>
        <v>0</v>
      </c>
      <c r="R169" s="17">
        <f t="shared" si="18"/>
        <v>0</v>
      </c>
      <c r="S169" s="17">
        <f t="shared" si="19"/>
        <v>0.94877825801525839</v>
      </c>
      <c r="T169" s="17">
        <f t="shared" si="17"/>
        <v>-5.2580166246535311E-2</v>
      </c>
    </row>
    <row r="170" spans="1:20" x14ac:dyDescent="0.3">
      <c r="A170" s="15">
        <v>66</v>
      </c>
      <c r="B170" s="15">
        <v>1</v>
      </c>
      <c r="C170" s="15">
        <v>4</v>
      </c>
      <c r="D170" s="15">
        <v>120</v>
      </c>
      <c r="E170" s="15">
        <v>302</v>
      </c>
      <c r="F170" s="15">
        <v>0</v>
      </c>
      <c r="G170" s="15">
        <v>2</v>
      </c>
      <c r="H170" s="15">
        <v>151</v>
      </c>
      <c r="I170" s="15">
        <v>0</v>
      </c>
      <c r="J170" s="15">
        <v>0.4</v>
      </c>
      <c r="K170" s="15">
        <v>2</v>
      </c>
      <c r="L170" s="15">
        <v>0</v>
      </c>
      <c r="M170" s="15">
        <v>3</v>
      </c>
      <c r="N170" s="15">
        <v>0</v>
      </c>
      <c r="O170" s="17">
        <f t="shared" si="14"/>
        <v>-0.7455595364487424</v>
      </c>
      <c r="P170" s="17">
        <f t="shared" si="15"/>
        <v>0.32178962444491366</v>
      </c>
      <c r="Q170" s="17">
        <f t="shared" si="16"/>
        <v>0</v>
      </c>
      <c r="R170" s="17">
        <f t="shared" si="18"/>
        <v>0</v>
      </c>
      <c r="S170" s="17">
        <f t="shared" si="19"/>
        <v>0.67821037555508634</v>
      </c>
      <c r="T170" s="17">
        <f t="shared" si="17"/>
        <v>-0.38829775074190953</v>
      </c>
    </row>
    <row r="171" spans="1:20" x14ac:dyDescent="0.3">
      <c r="A171" s="15">
        <v>62</v>
      </c>
      <c r="B171" s="15">
        <v>0</v>
      </c>
      <c r="C171" s="15">
        <v>4</v>
      </c>
      <c r="D171" s="15">
        <v>160</v>
      </c>
      <c r="E171" s="15">
        <v>164</v>
      </c>
      <c r="F171" s="15">
        <v>0</v>
      </c>
      <c r="G171" s="15">
        <v>2</v>
      </c>
      <c r="H171" s="15">
        <v>145</v>
      </c>
      <c r="I171" s="15">
        <v>0</v>
      </c>
      <c r="J171" s="15">
        <v>6.2</v>
      </c>
      <c r="K171" s="15">
        <v>3</v>
      </c>
      <c r="L171" s="15">
        <v>3</v>
      </c>
      <c r="M171" s="15">
        <v>7</v>
      </c>
      <c r="N171" s="15">
        <v>1</v>
      </c>
      <c r="O171" s="17">
        <f t="shared" si="14"/>
        <v>7.0164474425154513</v>
      </c>
      <c r="P171" s="17">
        <f t="shared" si="15"/>
        <v>0.99910379739325472</v>
      </c>
      <c r="Q171" s="17">
        <f t="shared" si="16"/>
        <v>1</v>
      </c>
      <c r="R171" s="17">
        <f t="shared" si="18"/>
        <v>0</v>
      </c>
      <c r="S171" s="17">
        <f t="shared" si="19"/>
        <v>0.99910379739325472</v>
      </c>
      <c r="T171" s="17">
        <f t="shared" si="17"/>
        <v>-8.9660443639990749E-4</v>
      </c>
    </row>
    <row r="172" spans="1:20" x14ac:dyDescent="0.3">
      <c r="A172" s="15">
        <v>62</v>
      </c>
      <c r="B172" s="15">
        <v>1</v>
      </c>
      <c r="C172" s="15">
        <v>3</v>
      </c>
      <c r="D172" s="15">
        <v>130</v>
      </c>
      <c r="E172" s="15">
        <v>231</v>
      </c>
      <c r="F172" s="15">
        <v>0</v>
      </c>
      <c r="G172" s="15">
        <v>0</v>
      </c>
      <c r="H172" s="15">
        <v>146</v>
      </c>
      <c r="I172" s="15">
        <v>0</v>
      </c>
      <c r="J172" s="15">
        <v>1.8</v>
      </c>
      <c r="K172" s="15">
        <v>2</v>
      </c>
      <c r="L172" s="15">
        <v>3</v>
      </c>
      <c r="M172" s="15">
        <v>7</v>
      </c>
      <c r="N172" s="15">
        <v>0</v>
      </c>
      <c r="O172" s="17">
        <f t="shared" si="14"/>
        <v>3.97349389748865</v>
      </c>
      <c r="P172" s="17">
        <f t="shared" si="15"/>
        <v>0.98153958977129041</v>
      </c>
      <c r="Q172" s="17">
        <f t="shared" si="16"/>
        <v>1</v>
      </c>
      <c r="R172" s="17">
        <f t="shared" si="18"/>
        <v>1</v>
      </c>
      <c r="S172" s="17">
        <f t="shared" si="19"/>
        <v>1.8460410228709589E-2</v>
      </c>
      <c r="T172" s="17">
        <f t="shared" si="17"/>
        <v>-3.992126827580698</v>
      </c>
    </row>
    <row r="173" spans="1:20" x14ac:dyDescent="0.3">
      <c r="A173" s="15">
        <v>60</v>
      </c>
      <c r="B173" s="15">
        <v>0</v>
      </c>
      <c r="C173" s="15">
        <v>4</v>
      </c>
      <c r="D173" s="15">
        <v>150</v>
      </c>
      <c r="E173" s="15">
        <v>258</v>
      </c>
      <c r="F173" s="15">
        <v>0</v>
      </c>
      <c r="G173" s="15">
        <v>2</v>
      </c>
      <c r="H173" s="15">
        <v>157</v>
      </c>
      <c r="I173" s="15">
        <v>0</v>
      </c>
      <c r="J173" s="15">
        <v>2.6</v>
      </c>
      <c r="K173" s="15">
        <v>2</v>
      </c>
      <c r="L173" s="15">
        <v>2</v>
      </c>
      <c r="M173" s="15">
        <v>7</v>
      </c>
      <c r="N173" s="15">
        <v>1</v>
      </c>
      <c r="O173" s="17">
        <f t="shared" si="14"/>
        <v>3.6270371202968352</v>
      </c>
      <c r="P173" s="17">
        <f t="shared" si="15"/>
        <v>0.97409409877364661</v>
      </c>
      <c r="Q173" s="17">
        <f t="shared" si="16"/>
        <v>1</v>
      </c>
      <c r="R173" s="17">
        <f t="shared" si="18"/>
        <v>0</v>
      </c>
      <c r="S173" s="17">
        <f t="shared" si="19"/>
        <v>0.97409409877364661</v>
      </c>
      <c r="T173" s="17">
        <f t="shared" si="17"/>
        <v>-2.6247369355549097E-2</v>
      </c>
    </row>
    <row r="174" spans="1:20" x14ac:dyDescent="0.3">
      <c r="A174" s="15">
        <v>34</v>
      </c>
      <c r="B174" s="15">
        <v>1</v>
      </c>
      <c r="C174" s="15">
        <v>1</v>
      </c>
      <c r="D174" s="15">
        <v>118</v>
      </c>
      <c r="E174" s="15">
        <v>182</v>
      </c>
      <c r="F174" s="15">
        <v>0</v>
      </c>
      <c r="G174" s="15">
        <v>2</v>
      </c>
      <c r="H174" s="15">
        <v>174</v>
      </c>
      <c r="I174" s="15">
        <v>0</v>
      </c>
      <c r="J174" s="15">
        <v>0</v>
      </c>
      <c r="K174" s="15">
        <v>1</v>
      </c>
      <c r="L174" s="15">
        <v>0</v>
      </c>
      <c r="M174" s="15">
        <v>3</v>
      </c>
      <c r="N174" s="15">
        <v>0</v>
      </c>
      <c r="O174" s="17">
        <f t="shared" si="14"/>
        <v>-4.6780808782483394</v>
      </c>
      <c r="P174" s="17">
        <f t="shared" si="15"/>
        <v>9.2112034713626011E-3</v>
      </c>
      <c r="Q174" s="17">
        <f t="shared" si="16"/>
        <v>0</v>
      </c>
      <c r="R174" s="17">
        <f t="shared" si="18"/>
        <v>0</v>
      </c>
      <c r="S174" s="17">
        <f t="shared" si="19"/>
        <v>0.99078879652863738</v>
      </c>
      <c r="T174" s="17">
        <f t="shared" si="17"/>
        <v>-9.2538889312288077E-3</v>
      </c>
    </row>
    <row r="175" spans="1:20" x14ac:dyDescent="0.3">
      <c r="A175" s="15">
        <v>49</v>
      </c>
      <c r="B175" s="15">
        <v>1</v>
      </c>
      <c r="C175" s="15">
        <v>3</v>
      </c>
      <c r="D175" s="15">
        <v>120</v>
      </c>
      <c r="E175" s="15">
        <v>188</v>
      </c>
      <c r="F175" s="15">
        <v>0</v>
      </c>
      <c r="G175" s="15">
        <v>0</v>
      </c>
      <c r="H175" s="15">
        <v>139</v>
      </c>
      <c r="I175" s="15">
        <v>0</v>
      </c>
      <c r="J175" s="15">
        <v>2</v>
      </c>
      <c r="K175" s="15">
        <v>2</v>
      </c>
      <c r="L175" s="15">
        <v>3</v>
      </c>
      <c r="M175" s="15">
        <v>7</v>
      </c>
      <c r="N175" s="15">
        <v>1</v>
      </c>
      <c r="O175" s="17">
        <f t="shared" si="14"/>
        <v>3.896423513457334</v>
      </c>
      <c r="P175" s="17">
        <f t="shared" si="15"/>
        <v>0.98009002395000977</v>
      </c>
      <c r="Q175" s="17">
        <f t="shared" si="16"/>
        <v>1</v>
      </c>
      <c r="R175" s="17">
        <f t="shared" si="18"/>
        <v>0</v>
      </c>
      <c r="S175" s="17">
        <f t="shared" si="19"/>
        <v>0.98009002395000977</v>
      </c>
      <c r="T175" s="17">
        <f t="shared" si="17"/>
        <v>-2.0110850363019316E-2</v>
      </c>
    </row>
    <row r="176" spans="1:20" x14ac:dyDescent="0.3">
      <c r="A176" s="15">
        <v>54</v>
      </c>
      <c r="B176" s="15">
        <v>1</v>
      </c>
      <c r="C176" s="15">
        <v>2</v>
      </c>
      <c r="D176" s="15">
        <v>108</v>
      </c>
      <c r="E176" s="15">
        <v>309</v>
      </c>
      <c r="F176" s="15">
        <v>0</v>
      </c>
      <c r="G176" s="15">
        <v>0</v>
      </c>
      <c r="H176" s="15">
        <v>156</v>
      </c>
      <c r="I176" s="15">
        <v>0</v>
      </c>
      <c r="J176" s="15">
        <v>0</v>
      </c>
      <c r="K176" s="15">
        <v>1</v>
      </c>
      <c r="L176" s="15">
        <v>0</v>
      </c>
      <c r="M176" s="15">
        <v>7</v>
      </c>
      <c r="N176" s="15">
        <v>0</v>
      </c>
      <c r="O176" s="17">
        <f t="shared" si="14"/>
        <v>-2.9521471934201369</v>
      </c>
      <c r="P176" s="17">
        <f t="shared" si="15"/>
        <v>4.9635127262328202E-2</v>
      </c>
      <c r="Q176" s="17">
        <f t="shared" si="16"/>
        <v>0</v>
      </c>
      <c r="R176" s="17">
        <f t="shared" si="18"/>
        <v>0</v>
      </c>
      <c r="S176" s="17">
        <f t="shared" si="19"/>
        <v>0.95036487273767178</v>
      </c>
      <c r="T176" s="17">
        <f t="shared" si="17"/>
        <v>-5.0909291560104278E-2</v>
      </c>
    </row>
    <row r="177" spans="1:20" x14ac:dyDescent="0.3">
      <c r="A177" s="15">
        <v>61</v>
      </c>
      <c r="B177" s="15">
        <v>0</v>
      </c>
      <c r="C177" s="15">
        <v>4</v>
      </c>
      <c r="D177" s="15">
        <v>145</v>
      </c>
      <c r="E177" s="15">
        <v>307</v>
      </c>
      <c r="F177" s="15">
        <v>0</v>
      </c>
      <c r="G177" s="15">
        <v>2</v>
      </c>
      <c r="H177" s="15">
        <v>146</v>
      </c>
      <c r="I177" s="15">
        <v>1</v>
      </c>
      <c r="J177" s="15">
        <v>1</v>
      </c>
      <c r="K177" s="15">
        <v>2</v>
      </c>
      <c r="L177" s="15">
        <v>0</v>
      </c>
      <c r="M177" s="15">
        <v>7</v>
      </c>
      <c r="N177" s="15">
        <v>1</v>
      </c>
      <c r="O177" s="17">
        <f t="shared" si="14"/>
        <v>1.3702908045466184</v>
      </c>
      <c r="P177" s="17">
        <f t="shared" si="15"/>
        <v>0.79742713335519644</v>
      </c>
      <c r="Q177" s="17">
        <f t="shared" si="16"/>
        <v>1</v>
      </c>
      <c r="R177" s="17">
        <f t="shared" si="18"/>
        <v>0</v>
      </c>
      <c r="S177" s="17">
        <f t="shared" si="19"/>
        <v>0.79742713335519644</v>
      </c>
      <c r="T177" s="17">
        <f t="shared" si="17"/>
        <v>-0.22636481733113306</v>
      </c>
    </row>
    <row r="178" spans="1:20" x14ac:dyDescent="0.3">
      <c r="A178" s="15">
        <v>41</v>
      </c>
      <c r="B178" s="15">
        <v>1</v>
      </c>
      <c r="C178" s="15">
        <v>2</v>
      </c>
      <c r="D178" s="15">
        <v>135</v>
      </c>
      <c r="E178" s="15">
        <v>203</v>
      </c>
      <c r="F178" s="15">
        <v>0</v>
      </c>
      <c r="G178" s="15">
        <v>0</v>
      </c>
      <c r="H178" s="15">
        <v>132</v>
      </c>
      <c r="I178" s="15">
        <v>0</v>
      </c>
      <c r="J178" s="15">
        <v>0</v>
      </c>
      <c r="K178" s="15">
        <v>2</v>
      </c>
      <c r="L178" s="15">
        <v>0</v>
      </c>
      <c r="M178" s="15">
        <v>6</v>
      </c>
      <c r="N178" s="15">
        <v>0</v>
      </c>
      <c r="O178" s="17">
        <f t="shared" si="14"/>
        <v>-1.1733980281988217</v>
      </c>
      <c r="P178" s="17">
        <f t="shared" si="15"/>
        <v>0.23624132401273912</v>
      </c>
      <c r="Q178" s="17">
        <f t="shared" si="16"/>
        <v>0</v>
      </c>
      <c r="R178" s="17">
        <f t="shared" si="18"/>
        <v>0</v>
      </c>
      <c r="S178" s="17">
        <f t="shared" si="19"/>
        <v>0.76375867598726088</v>
      </c>
      <c r="T178" s="17">
        <f t="shared" si="17"/>
        <v>-0.26950340883939861</v>
      </c>
    </row>
    <row r="179" spans="1:20" x14ac:dyDescent="0.3">
      <c r="A179" s="15">
        <v>63</v>
      </c>
      <c r="B179" s="15">
        <v>1</v>
      </c>
      <c r="C179" s="15">
        <v>4</v>
      </c>
      <c r="D179" s="15">
        <v>130</v>
      </c>
      <c r="E179" s="15">
        <v>330</v>
      </c>
      <c r="F179" s="15">
        <v>1</v>
      </c>
      <c r="G179" s="15">
        <v>2</v>
      </c>
      <c r="H179" s="15">
        <v>132</v>
      </c>
      <c r="I179" s="15">
        <v>1</v>
      </c>
      <c r="J179" s="15">
        <v>1.8</v>
      </c>
      <c r="K179" s="15">
        <v>1</v>
      </c>
      <c r="L179" s="15">
        <v>3</v>
      </c>
      <c r="M179" s="15">
        <v>7</v>
      </c>
      <c r="N179" s="15">
        <v>1</v>
      </c>
      <c r="O179" s="17">
        <f t="shared" si="14"/>
        <v>5.1869127677216564</v>
      </c>
      <c r="P179" s="17">
        <f t="shared" si="15"/>
        <v>0.9944418304434931</v>
      </c>
      <c r="Q179" s="17">
        <f t="shared" si="16"/>
        <v>1</v>
      </c>
      <c r="R179" s="17">
        <f t="shared" si="18"/>
        <v>0</v>
      </c>
      <c r="S179" s="17">
        <f t="shared" si="19"/>
        <v>0.9944418304434931</v>
      </c>
      <c r="T179" s="17">
        <f t="shared" si="17"/>
        <v>-5.5736736572187789E-3</v>
      </c>
    </row>
    <row r="180" spans="1:20" x14ac:dyDescent="0.3">
      <c r="A180" s="15">
        <v>65</v>
      </c>
      <c r="B180" s="15">
        <v>1</v>
      </c>
      <c r="C180" s="15">
        <v>4</v>
      </c>
      <c r="D180" s="15">
        <v>135</v>
      </c>
      <c r="E180" s="15">
        <v>254</v>
      </c>
      <c r="F180" s="15">
        <v>0</v>
      </c>
      <c r="G180" s="15">
        <v>2</v>
      </c>
      <c r="H180" s="15">
        <v>127</v>
      </c>
      <c r="I180" s="15">
        <v>0</v>
      </c>
      <c r="J180" s="15">
        <v>2.8</v>
      </c>
      <c r="K180" s="15">
        <v>2</v>
      </c>
      <c r="L180" s="15">
        <v>1</v>
      </c>
      <c r="M180" s="15">
        <v>7</v>
      </c>
      <c r="N180" s="15">
        <v>1</v>
      </c>
      <c r="O180" s="17">
        <f t="shared" si="14"/>
        <v>3.2795794461096914</v>
      </c>
      <c r="P180" s="17">
        <f t="shared" si="15"/>
        <v>0.96372158296394728</v>
      </c>
      <c r="Q180" s="17">
        <f t="shared" si="16"/>
        <v>1</v>
      </c>
      <c r="R180" s="17">
        <f t="shared" si="18"/>
        <v>0</v>
      </c>
      <c r="S180" s="17">
        <f t="shared" si="19"/>
        <v>0.96372158296394728</v>
      </c>
      <c r="T180" s="17">
        <f t="shared" si="17"/>
        <v>-3.6952840439240506E-2</v>
      </c>
    </row>
    <row r="181" spans="1:20" x14ac:dyDescent="0.3">
      <c r="A181" s="15">
        <v>44</v>
      </c>
      <c r="B181" s="15">
        <v>1</v>
      </c>
      <c r="C181" s="15">
        <v>2</v>
      </c>
      <c r="D181" s="15">
        <v>120</v>
      </c>
      <c r="E181" s="15">
        <v>220</v>
      </c>
      <c r="F181" s="15">
        <v>0</v>
      </c>
      <c r="G181" s="15">
        <v>0</v>
      </c>
      <c r="H181" s="15">
        <v>170</v>
      </c>
      <c r="I181" s="15">
        <v>0</v>
      </c>
      <c r="J181" s="15">
        <v>0</v>
      </c>
      <c r="K181" s="15">
        <v>1</v>
      </c>
      <c r="L181" s="15">
        <v>0</v>
      </c>
      <c r="M181" s="15">
        <v>3</v>
      </c>
      <c r="N181" s="15">
        <v>0</v>
      </c>
      <c r="O181" s="17">
        <f t="shared" si="14"/>
        <v>-4.1950401878519203</v>
      </c>
      <c r="P181" s="17">
        <f t="shared" si="15"/>
        <v>1.4846399541218707E-2</v>
      </c>
      <c r="Q181" s="17">
        <f t="shared" si="16"/>
        <v>0</v>
      </c>
      <c r="R181" s="17">
        <f t="shared" si="18"/>
        <v>0</v>
      </c>
      <c r="S181" s="17">
        <f t="shared" si="19"/>
        <v>0.98515360045878131</v>
      </c>
      <c r="T181" s="17">
        <f t="shared" si="17"/>
        <v>-1.4957710415294024E-2</v>
      </c>
    </row>
    <row r="182" spans="1:20" x14ac:dyDescent="0.3">
      <c r="A182" s="15">
        <v>54</v>
      </c>
      <c r="B182" s="15">
        <v>1</v>
      </c>
      <c r="C182" s="15">
        <v>3</v>
      </c>
      <c r="D182" s="15">
        <v>120</v>
      </c>
      <c r="E182" s="15">
        <v>258</v>
      </c>
      <c r="F182" s="15">
        <v>0</v>
      </c>
      <c r="G182" s="15">
        <v>2</v>
      </c>
      <c r="H182" s="15">
        <v>147</v>
      </c>
      <c r="I182" s="15">
        <v>0</v>
      </c>
      <c r="J182" s="15">
        <v>0.4</v>
      </c>
      <c r="K182" s="15">
        <v>2</v>
      </c>
      <c r="L182" s="15">
        <v>0</v>
      </c>
      <c r="M182" s="15">
        <v>7</v>
      </c>
      <c r="N182" s="15">
        <v>0</v>
      </c>
      <c r="O182" s="17">
        <f t="shared" si="14"/>
        <v>-0.25683935418424753</v>
      </c>
      <c r="P182" s="17">
        <f t="shared" si="15"/>
        <v>0.43614082305785068</v>
      </c>
      <c r="Q182" s="17">
        <f t="shared" si="16"/>
        <v>0</v>
      </c>
      <c r="R182" s="17">
        <f t="shared" si="18"/>
        <v>0</v>
      </c>
      <c r="S182" s="17">
        <f t="shared" si="19"/>
        <v>0.56385917694214926</v>
      </c>
      <c r="T182" s="17">
        <f t="shared" si="17"/>
        <v>-0.57295074493367026</v>
      </c>
    </row>
    <row r="183" spans="1:20" x14ac:dyDescent="0.3">
      <c r="A183" s="15">
        <v>51</v>
      </c>
      <c r="B183" s="15">
        <v>1</v>
      </c>
      <c r="C183" s="15">
        <v>3</v>
      </c>
      <c r="D183" s="15">
        <v>94</v>
      </c>
      <c r="E183" s="15">
        <v>227</v>
      </c>
      <c r="F183" s="15">
        <v>0</v>
      </c>
      <c r="G183" s="15">
        <v>0</v>
      </c>
      <c r="H183" s="15">
        <v>154</v>
      </c>
      <c r="I183" s="15">
        <v>1</v>
      </c>
      <c r="J183" s="15">
        <v>0</v>
      </c>
      <c r="K183" s="15">
        <v>1</v>
      </c>
      <c r="L183" s="15">
        <v>1</v>
      </c>
      <c r="M183" s="15">
        <v>7</v>
      </c>
      <c r="N183" s="15">
        <v>0</v>
      </c>
      <c r="O183" s="17">
        <f t="shared" si="14"/>
        <v>-0.54086572519921461</v>
      </c>
      <c r="P183" s="17">
        <f t="shared" si="15"/>
        <v>0.36798621550943722</v>
      </c>
      <c r="Q183" s="17">
        <f t="shared" si="16"/>
        <v>0</v>
      </c>
      <c r="R183" s="17">
        <f t="shared" si="18"/>
        <v>0</v>
      </c>
      <c r="S183" s="17">
        <f t="shared" si="19"/>
        <v>0.63201378449056278</v>
      </c>
      <c r="T183" s="17">
        <f t="shared" si="17"/>
        <v>-0.45884407417034473</v>
      </c>
    </row>
    <row r="184" spans="1:20" x14ac:dyDescent="0.3">
      <c r="A184" s="15">
        <v>35</v>
      </c>
      <c r="B184" s="15">
        <v>1</v>
      </c>
      <c r="C184" s="15">
        <v>4</v>
      </c>
      <c r="D184" s="15">
        <v>120</v>
      </c>
      <c r="E184" s="15">
        <v>198</v>
      </c>
      <c r="F184" s="15">
        <v>0</v>
      </c>
      <c r="G184" s="15">
        <v>0</v>
      </c>
      <c r="H184" s="15">
        <v>130</v>
      </c>
      <c r="I184" s="15">
        <v>1</v>
      </c>
      <c r="J184" s="15">
        <v>1.6</v>
      </c>
      <c r="K184" s="15">
        <v>2</v>
      </c>
      <c r="L184" s="15">
        <v>0</v>
      </c>
      <c r="M184" s="15">
        <v>7</v>
      </c>
      <c r="N184" s="15">
        <v>1</v>
      </c>
      <c r="O184" s="17">
        <f t="shared" si="14"/>
        <v>1.5250830788085281</v>
      </c>
      <c r="P184" s="17">
        <f t="shared" si="15"/>
        <v>0.82128577059643926</v>
      </c>
      <c r="Q184" s="17">
        <f t="shared" si="16"/>
        <v>1</v>
      </c>
      <c r="R184" s="17">
        <f t="shared" si="18"/>
        <v>0</v>
      </c>
      <c r="S184" s="17">
        <f t="shared" si="19"/>
        <v>0.82128577059643926</v>
      </c>
      <c r="T184" s="17">
        <f t="shared" si="17"/>
        <v>-0.19688415385005067</v>
      </c>
    </row>
    <row r="185" spans="1:20" x14ac:dyDescent="0.3">
      <c r="A185" s="15">
        <v>64</v>
      </c>
      <c r="B185" s="15">
        <v>1</v>
      </c>
      <c r="C185" s="15">
        <v>3</v>
      </c>
      <c r="D185" s="15">
        <v>125</v>
      </c>
      <c r="E185" s="15">
        <v>309</v>
      </c>
      <c r="F185" s="15">
        <v>0</v>
      </c>
      <c r="G185" s="15">
        <v>0</v>
      </c>
      <c r="H185" s="15">
        <v>131</v>
      </c>
      <c r="I185" s="15">
        <v>1</v>
      </c>
      <c r="J185" s="15">
        <v>1.8</v>
      </c>
      <c r="K185" s="15">
        <v>2</v>
      </c>
      <c r="L185" s="15">
        <v>0</v>
      </c>
      <c r="M185" s="15">
        <v>7</v>
      </c>
      <c r="N185" s="15">
        <v>1</v>
      </c>
      <c r="O185" s="17">
        <f t="shared" si="14"/>
        <v>0.81957344806658128</v>
      </c>
      <c r="P185" s="17">
        <f t="shared" si="15"/>
        <v>0.69414578747077993</v>
      </c>
      <c r="Q185" s="17">
        <f t="shared" si="16"/>
        <v>1</v>
      </c>
      <c r="R185" s="17">
        <f t="shared" si="18"/>
        <v>0</v>
      </c>
      <c r="S185" s="17">
        <f t="shared" si="19"/>
        <v>0.69414578747077993</v>
      </c>
      <c r="T185" s="17">
        <f t="shared" si="17"/>
        <v>-0.36507327213490953</v>
      </c>
    </row>
    <row r="186" spans="1:20" x14ac:dyDescent="0.3">
      <c r="A186" s="15">
        <v>57</v>
      </c>
      <c r="B186" s="15">
        <v>1</v>
      </c>
      <c r="C186" s="15">
        <v>4</v>
      </c>
      <c r="D186" s="15">
        <v>165</v>
      </c>
      <c r="E186" s="15">
        <v>289</v>
      </c>
      <c r="F186" s="15">
        <v>1</v>
      </c>
      <c r="G186" s="15">
        <v>2</v>
      </c>
      <c r="H186" s="15">
        <v>124</v>
      </c>
      <c r="I186" s="15">
        <v>0</v>
      </c>
      <c r="J186" s="15">
        <v>1</v>
      </c>
      <c r="K186" s="15">
        <v>2</v>
      </c>
      <c r="L186" s="15">
        <v>3</v>
      </c>
      <c r="M186" s="15">
        <v>7</v>
      </c>
      <c r="N186" s="15">
        <v>1</v>
      </c>
      <c r="O186" s="17">
        <f t="shared" si="14"/>
        <v>6.3478907161315252</v>
      </c>
      <c r="P186" s="17">
        <f t="shared" si="15"/>
        <v>0.99825262325986208</v>
      </c>
      <c r="Q186" s="17">
        <f t="shared" si="16"/>
        <v>1</v>
      </c>
      <c r="R186" s="17">
        <f t="shared" si="18"/>
        <v>0</v>
      </c>
      <c r="S186" s="17">
        <f t="shared" si="19"/>
        <v>0.99825262325986208</v>
      </c>
      <c r="T186" s="17">
        <f t="shared" si="17"/>
        <v>-1.7489051836445042E-3</v>
      </c>
    </row>
    <row r="187" spans="1:20" x14ac:dyDescent="0.3">
      <c r="A187" s="15">
        <v>60</v>
      </c>
      <c r="B187" s="15">
        <v>0</v>
      </c>
      <c r="C187" s="15">
        <v>3</v>
      </c>
      <c r="D187" s="15">
        <v>102</v>
      </c>
      <c r="E187" s="15">
        <v>318</v>
      </c>
      <c r="F187" s="15">
        <v>0</v>
      </c>
      <c r="G187" s="15">
        <v>0</v>
      </c>
      <c r="H187" s="15">
        <v>160</v>
      </c>
      <c r="I187" s="15">
        <v>0</v>
      </c>
      <c r="J187" s="15">
        <v>0</v>
      </c>
      <c r="K187" s="15">
        <v>1</v>
      </c>
      <c r="L187" s="15">
        <v>1</v>
      </c>
      <c r="M187" s="15">
        <v>3</v>
      </c>
      <c r="N187" s="15">
        <v>0</v>
      </c>
      <c r="O187" s="17">
        <f t="shared" si="14"/>
        <v>-3.1511011570371643</v>
      </c>
      <c r="P187" s="17">
        <f t="shared" si="15"/>
        <v>4.1047911465335304E-2</v>
      </c>
      <c r="Q187" s="17">
        <f t="shared" si="16"/>
        <v>0</v>
      </c>
      <c r="R187" s="17">
        <f t="shared" si="18"/>
        <v>0</v>
      </c>
      <c r="S187" s="17">
        <f t="shared" si="19"/>
        <v>0.95895208853466474</v>
      </c>
      <c r="T187" s="17">
        <f t="shared" si="17"/>
        <v>-4.1914165164599948E-2</v>
      </c>
    </row>
    <row r="188" spans="1:20" x14ac:dyDescent="0.3">
      <c r="A188" s="15">
        <v>42</v>
      </c>
      <c r="B188" s="15">
        <v>0</v>
      </c>
      <c r="C188" s="15">
        <v>4</v>
      </c>
      <c r="D188" s="15">
        <v>102</v>
      </c>
      <c r="E188" s="15">
        <v>265</v>
      </c>
      <c r="F188" s="15">
        <v>0</v>
      </c>
      <c r="G188" s="15">
        <v>2</v>
      </c>
      <c r="H188" s="15">
        <v>122</v>
      </c>
      <c r="I188" s="15">
        <v>0</v>
      </c>
      <c r="J188" s="15">
        <v>0.6</v>
      </c>
      <c r="K188" s="15">
        <v>2</v>
      </c>
      <c r="L188" s="15">
        <v>0</v>
      </c>
      <c r="M188" s="15">
        <v>3</v>
      </c>
      <c r="N188" s="15">
        <v>0</v>
      </c>
      <c r="O188" s="17">
        <f t="shared" si="14"/>
        <v>-1.3805143478218058</v>
      </c>
      <c r="P188" s="17">
        <f t="shared" si="15"/>
        <v>0.20092640594013414</v>
      </c>
      <c r="Q188" s="17">
        <f t="shared" si="16"/>
        <v>0</v>
      </c>
      <c r="R188" s="17">
        <f t="shared" si="18"/>
        <v>0</v>
      </c>
      <c r="S188" s="17">
        <f t="shared" si="19"/>
        <v>0.79907359405986589</v>
      </c>
      <c r="T188" s="17">
        <f t="shared" si="17"/>
        <v>-0.22430222974804781</v>
      </c>
    </row>
    <row r="189" spans="1:20" x14ac:dyDescent="0.3">
      <c r="A189" s="15">
        <v>67</v>
      </c>
      <c r="B189" s="15">
        <v>0</v>
      </c>
      <c r="C189" s="15">
        <v>3</v>
      </c>
      <c r="D189" s="15">
        <v>115</v>
      </c>
      <c r="E189" s="15">
        <v>564</v>
      </c>
      <c r="F189" s="15">
        <v>0</v>
      </c>
      <c r="G189" s="15">
        <v>2</v>
      </c>
      <c r="H189" s="15">
        <v>160</v>
      </c>
      <c r="I189" s="15">
        <v>0</v>
      </c>
      <c r="J189" s="15">
        <v>1.6</v>
      </c>
      <c r="K189" s="15">
        <v>2</v>
      </c>
      <c r="L189" s="15">
        <v>0</v>
      </c>
      <c r="M189" s="15">
        <v>7</v>
      </c>
      <c r="N189" s="15">
        <v>0</v>
      </c>
      <c r="O189" s="17">
        <f t="shared" si="14"/>
        <v>-0.71556042228913519</v>
      </c>
      <c r="P189" s="17">
        <f t="shared" si="15"/>
        <v>0.32837135633448811</v>
      </c>
      <c r="Q189" s="17">
        <f t="shared" si="16"/>
        <v>0</v>
      </c>
      <c r="R189" s="17">
        <f t="shared" si="18"/>
        <v>0</v>
      </c>
      <c r="S189" s="17">
        <f t="shared" si="19"/>
        <v>0.67162864366551189</v>
      </c>
      <c r="T189" s="17">
        <f t="shared" si="17"/>
        <v>-0.39804970479914337</v>
      </c>
    </row>
    <row r="190" spans="1:20" x14ac:dyDescent="0.3">
      <c r="A190" s="15">
        <v>60</v>
      </c>
      <c r="B190" s="15">
        <v>1</v>
      </c>
      <c r="C190" s="15">
        <v>4</v>
      </c>
      <c r="D190" s="15">
        <v>140</v>
      </c>
      <c r="E190" s="15">
        <v>293</v>
      </c>
      <c r="F190" s="15">
        <v>0</v>
      </c>
      <c r="G190" s="15">
        <v>2</v>
      </c>
      <c r="H190" s="15">
        <v>170</v>
      </c>
      <c r="I190" s="15">
        <v>0</v>
      </c>
      <c r="J190" s="15">
        <v>1.2</v>
      </c>
      <c r="K190" s="15">
        <v>2</v>
      </c>
      <c r="L190" s="15">
        <v>2</v>
      </c>
      <c r="M190" s="15">
        <v>7</v>
      </c>
      <c r="N190" s="15">
        <v>1</v>
      </c>
      <c r="O190" s="17">
        <f t="shared" si="14"/>
        <v>3.7229762656427621</v>
      </c>
      <c r="P190" s="17">
        <f t="shared" si="15"/>
        <v>0.97640807844254407</v>
      </c>
      <c r="Q190" s="17">
        <f t="shared" si="16"/>
        <v>1</v>
      </c>
      <c r="R190" s="17">
        <f t="shared" si="18"/>
        <v>0</v>
      </c>
      <c r="S190" s="17">
        <f t="shared" si="19"/>
        <v>0.97640807844254407</v>
      </c>
      <c r="T190" s="17">
        <f t="shared" si="17"/>
        <v>-2.3874666795649806E-2</v>
      </c>
    </row>
    <row r="191" spans="1:20" x14ac:dyDescent="0.3">
      <c r="A191" s="15">
        <v>46</v>
      </c>
      <c r="B191" s="15">
        <v>1</v>
      </c>
      <c r="C191" s="15">
        <v>2</v>
      </c>
      <c r="D191" s="15">
        <v>101</v>
      </c>
      <c r="E191" s="15">
        <v>197</v>
      </c>
      <c r="F191" s="15">
        <v>1</v>
      </c>
      <c r="G191" s="15">
        <v>0</v>
      </c>
      <c r="H191" s="15">
        <v>156</v>
      </c>
      <c r="I191" s="15">
        <v>0</v>
      </c>
      <c r="J191" s="15">
        <v>0</v>
      </c>
      <c r="K191" s="15">
        <v>1</v>
      </c>
      <c r="L191" s="15">
        <v>0</v>
      </c>
      <c r="M191" s="15">
        <v>7</v>
      </c>
      <c r="N191" s="15">
        <v>0</v>
      </c>
      <c r="O191" s="17">
        <f t="shared" si="14"/>
        <v>-3.854038035707708</v>
      </c>
      <c r="P191" s="17">
        <f t="shared" si="15"/>
        <v>2.0754118950166649E-2</v>
      </c>
      <c r="Q191" s="17">
        <f t="shared" si="16"/>
        <v>0</v>
      </c>
      <c r="R191" s="17">
        <f t="shared" si="18"/>
        <v>0</v>
      </c>
      <c r="S191" s="17">
        <f t="shared" si="19"/>
        <v>0.97924588104983334</v>
      </c>
      <c r="T191" s="17">
        <f t="shared" si="17"/>
        <v>-2.0972512674469847E-2</v>
      </c>
    </row>
    <row r="192" spans="1:20" x14ac:dyDescent="0.3">
      <c r="A192" s="15">
        <v>77</v>
      </c>
      <c r="B192" s="15">
        <v>1</v>
      </c>
      <c r="C192" s="15">
        <v>4</v>
      </c>
      <c r="D192" s="15">
        <v>125</v>
      </c>
      <c r="E192" s="15">
        <v>304</v>
      </c>
      <c r="F192" s="15">
        <v>0</v>
      </c>
      <c r="G192" s="15">
        <v>2</v>
      </c>
      <c r="H192" s="15">
        <v>162</v>
      </c>
      <c r="I192" s="15">
        <v>1</v>
      </c>
      <c r="J192" s="15">
        <v>0</v>
      </c>
      <c r="K192" s="15">
        <v>1</v>
      </c>
      <c r="L192" s="15">
        <v>3</v>
      </c>
      <c r="M192" s="15">
        <v>3</v>
      </c>
      <c r="N192" s="15">
        <v>1</v>
      </c>
      <c r="O192" s="17">
        <f t="shared" si="14"/>
        <v>3.0585759565021853</v>
      </c>
      <c r="P192" s="17">
        <f t="shared" si="15"/>
        <v>0.95515133434813582</v>
      </c>
      <c r="Q192" s="17">
        <f t="shared" si="16"/>
        <v>1</v>
      </c>
      <c r="R192" s="17">
        <f t="shared" si="18"/>
        <v>0</v>
      </c>
      <c r="S192" s="17">
        <f t="shared" si="19"/>
        <v>0.95515133434813582</v>
      </c>
      <c r="T192" s="17">
        <f t="shared" si="17"/>
        <v>-4.5885485769697885E-2</v>
      </c>
    </row>
    <row r="193" spans="1:20" x14ac:dyDescent="0.3">
      <c r="A193" s="15">
        <v>43</v>
      </c>
      <c r="B193" s="15">
        <v>1</v>
      </c>
      <c r="C193" s="15">
        <v>3</v>
      </c>
      <c r="D193" s="15">
        <v>130</v>
      </c>
      <c r="E193" s="15">
        <v>315</v>
      </c>
      <c r="F193" s="15">
        <v>0</v>
      </c>
      <c r="G193" s="15">
        <v>0</v>
      </c>
      <c r="H193" s="15">
        <v>162</v>
      </c>
      <c r="I193" s="15">
        <v>0</v>
      </c>
      <c r="J193" s="15">
        <v>1.9</v>
      </c>
      <c r="K193" s="15">
        <v>1</v>
      </c>
      <c r="L193" s="15">
        <v>1</v>
      </c>
      <c r="M193" s="15">
        <v>3</v>
      </c>
      <c r="N193" s="15">
        <v>0</v>
      </c>
      <c r="O193" s="17">
        <f t="shared" si="14"/>
        <v>-0.80178676521284942</v>
      </c>
      <c r="P193" s="17">
        <f t="shared" si="15"/>
        <v>0.30964344226160928</v>
      </c>
      <c r="Q193" s="17">
        <f t="shared" si="16"/>
        <v>0</v>
      </c>
      <c r="R193" s="17">
        <f t="shared" si="18"/>
        <v>0</v>
      </c>
      <c r="S193" s="17">
        <f t="shared" si="19"/>
        <v>0.69035655773839077</v>
      </c>
      <c r="T193" s="17">
        <f t="shared" si="17"/>
        <v>-0.37054706451481961</v>
      </c>
    </row>
    <row r="194" spans="1:20" x14ac:dyDescent="0.3">
      <c r="A194" s="15">
        <v>53</v>
      </c>
      <c r="B194" s="15">
        <v>1</v>
      </c>
      <c r="C194" s="15">
        <v>3</v>
      </c>
      <c r="D194" s="15">
        <v>130</v>
      </c>
      <c r="E194" s="15">
        <v>246</v>
      </c>
      <c r="F194" s="15">
        <v>1</v>
      </c>
      <c r="G194" s="15">
        <v>2</v>
      </c>
      <c r="H194" s="15">
        <v>173</v>
      </c>
      <c r="I194" s="15">
        <v>0</v>
      </c>
      <c r="J194" s="15">
        <v>0</v>
      </c>
      <c r="K194" s="15">
        <v>1</v>
      </c>
      <c r="L194" s="15">
        <v>3</v>
      </c>
      <c r="M194" s="15">
        <v>3</v>
      </c>
      <c r="N194" s="15">
        <v>0</v>
      </c>
      <c r="O194" s="17">
        <f t="shared" si="14"/>
        <v>1.0429083376628014</v>
      </c>
      <c r="P194" s="17">
        <f t="shared" si="15"/>
        <v>0.73941078185644138</v>
      </c>
      <c r="Q194" s="17">
        <f t="shared" si="16"/>
        <v>1</v>
      </c>
      <c r="R194" s="17">
        <f t="shared" si="18"/>
        <v>1</v>
      </c>
      <c r="S194" s="17">
        <f t="shared" si="19"/>
        <v>0.26058921814355862</v>
      </c>
      <c r="T194" s="17">
        <f t="shared" si="17"/>
        <v>-1.3448099883492874</v>
      </c>
    </row>
    <row r="195" spans="1:20" x14ac:dyDescent="0.3">
      <c r="A195" s="15">
        <v>50</v>
      </c>
      <c r="B195" s="15">
        <v>1</v>
      </c>
      <c r="C195" s="15">
        <v>3</v>
      </c>
      <c r="D195" s="15">
        <v>129</v>
      </c>
      <c r="E195" s="15">
        <v>196</v>
      </c>
      <c r="F195" s="15">
        <v>0</v>
      </c>
      <c r="G195" s="15">
        <v>0</v>
      </c>
      <c r="H195" s="15">
        <v>163</v>
      </c>
      <c r="I195" s="15">
        <v>0</v>
      </c>
      <c r="J195" s="15">
        <v>0</v>
      </c>
      <c r="K195" s="15">
        <v>1</v>
      </c>
      <c r="L195" s="15">
        <v>0</v>
      </c>
      <c r="M195" s="15">
        <v>3</v>
      </c>
      <c r="N195" s="15">
        <v>0</v>
      </c>
      <c r="O195" s="17">
        <f t="shared" si="14"/>
        <v>-3.0619215593056639</v>
      </c>
      <c r="P195" s="17">
        <f t="shared" si="15"/>
        <v>4.4705567222616913E-2</v>
      </c>
      <c r="Q195" s="17">
        <f t="shared" si="16"/>
        <v>0</v>
      </c>
      <c r="R195" s="17">
        <f t="shared" si="18"/>
        <v>0</v>
      </c>
      <c r="S195" s="17">
        <f t="shared" si="19"/>
        <v>0.95529443277738313</v>
      </c>
      <c r="T195" s="17">
        <f t="shared" si="17"/>
        <v>-4.5735679444936062E-2</v>
      </c>
    </row>
    <row r="196" spans="1:20" x14ac:dyDescent="0.3">
      <c r="A196" s="15">
        <v>57</v>
      </c>
      <c r="B196" s="15">
        <v>1</v>
      </c>
      <c r="C196" s="15">
        <v>3</v>
      </c>
      <c r="D196" s="15">
        <v>150</v>
      </c>
      <c r="E196" s="15">
        <v>126</v>
      </c>
      <c r="F196" s="15">
        <v>1</v>
      </c>
      <c r="G196" s="15">
        <v>0</v>
      </c>
      <c r="H196" s="15">
        <v>173</v>
      </c>
      <c r="I196" s="15">
        <v>0</v>
      </c>
      <c r="J196" s="15">
        <v>0.2</v>
      </c>
      <c r="K196" s="15">
        <v>1</v>
      </c>
      <c r="L196" s="15">
        <v>1</v>
      </c>
      <c r="M196" s="15">
        <v>7</v>
      </c>
      <c r="N196" s="15">
        <v>0</v>
      </c>
      <c r="O196" s="17">
        <f t="shared" si="14"/>
        <v>-0.70942034444218471</v>
      </c>
      <c r="P196" s="17">
        <f t="shared" si="15"/>
        <v>0.32972693552884608</v>
      </c>
      <c r="Q196" s="17">
        <f t="shared" si="16"/>
        <v>0</v>
      </c>
      <c r="R196" s="17">
        <f t="shared" si="18"/>
        <v>0</v>
      </c>
      <c r="S196" s="17">
        <f t="shared" si="19"/>
        <v>0.67027306447115387</v>
      </c>
      <c r="T196" s="17">
        <f t="shared" si="17"/>
        <v>-0.40007009071452992</v>
      </c>
    </row>
    <row r="197" spans="1:20" x14ac:dyDescent="0.3">
      <c r="A197" s="15">
        <v>37</v>
      </c>
      <c r="B197" s="15">
        <v>0</v>
      </c>
      <c r="C197" s="15">
        <v>3</v>
      </c>
      <c r="D197" s="15">
        <v>120</v>
      </c>
      <c r="E197" s="15">
        <v>215</v>
      </c>
      <c r="F197" s="15">
        <v>0</v>
      </c>
      <c r="G197" s="15">
        <v>0</v>
      </c>
      <c r="H197" s="15">
        <v>170</v>
      </c>
      <c r="I197" s="15">
        <v>0</v>
      </c>
      <c r="J197" s="15">
        <v>0</v>
      </c>
      <c r="K197" s="15">
        <v>1</v>
      </c>
      <c r="L197" s="15">
        <v>0</v>
      </c>
      <c r="M197" s="15">
        <v>3</v>
      </c>
      <c r="N197" s="15">
        <v>0</v>
      </c>
      <c r="O197" s="17">
        <f t="shared" si="14"/>
        <v>-4.2064179490768563</v>
      </c>
      <c r="P197" s="17">
        <f t="shared" si="15"/>
        <v>1.4680903902953778E-2</v>
      </c>
      <c r="Q197" s="17">
        <f t="shared" si="16"/>
        <v>0</v>
      </c>
      <c r="R197" s="17">
        <f t="shared" si="18"/>
        <v>0</v>
      </c>
      <c r="S197" s="17">
        <f t="shared" si="19"/>
        <v>0.98531909609704627</v>
      </c>
      <c r="T197" s="17">
        <f t="shared" si="17"/>
        <v>-1.4789734843804647E-2</v>
      </c>
    </row>
    <row r="198" spans="1:20" x14ac:dyDescent="0.3">
      <c r="A198" s="15">
        <v>54</v>
      </c>
      <c r="B198" s="15">
        <v>0</v>
      </c>
      <c r="C198" s="15">
        <v>3</v>
      </c>
      <c r="D198" s="15">
        <v>108</v>
      </c>
      <c r="E198" s="15">
        <v>267</v>
      </c>
      <c r="F198" s="15">
        <v>0</v>
      </c>
      <c r="G198" s="15">
        <v>2</v>
      </c>
      <c r="H198" s="15">
        <v>167</v>
      </c>
      <c r="I198" s="15">
        <v>0</v>
      </c>
      <c r="J198" s="15">
        <v>0</v>
      </c>
      <c r="K198" s="15">
        <v>1</v>
      </c>
      <c r="L198" s="15">
        <v>0</v>
      </c>
      <c r="M198" s="15">
        <v>3</v>
      </c>
      <c r="N198" s="15">
        <v>0</v>
      </c>
      <c r="O198" s="17">
        <f t="shared" si="14"/>
        <v>-4.0981617044765457</v>
      </c>
      <c r="P198" s="17">
        <f t="shared" si="15"/>
        <v>1.6332005844749666E-2</v>
      </c>
      <c r="Q198" s="17">
        <f t="shared" si="16"/>
        <v>0</v>
      </c>
      <c r="R198" s="17">
        <f t="shared" si="18"/>
        <v>0</v>
      </c>
      <c r="S198" s="17">
        <f t="shared" si="19"/>
        <v>0.9836679941552503</v>
      </c>
      <c r="T198" s="17">
        <f t="shared" si="17"/>
        <v>-1.6466843177295919E-2</v>
      </c>
    </row>
    <row r="199" spans="1:20" x14ac:dyDescent="0.3">
      <c r="A199" s="15">
        <v>39</v>
      </c>
      <c r="B199" s="15">
        <v>0</v>
      </c>
      <c r="C199" s="15">
        <v>3</v>
      </c>
      <c r="D199" s="15">
        <v>94</v>
      </c>
      <c r="E199" s="15">
        <v>199</v>
      </c>
      <c r="F199" s="15">
        <v>0</v>
      </c>
      <c r="G199" s="15">
        <v>0</v>
      </c>
      <c r="H199" s="15">
        <v>179</v>
      </c>
      <c r="I199" s="15">
        <v>0</v>
      </c>
      <c r="J199" s="15">
        <v>0</v>
      </c>
      <c r="K199" s="15">
        <v>1</v>
      </c>
      <c r="L199" s="15">
        <v>0</v>
      </c>
      <c r="M199" s="15">
        <v>3</v>
      </c>
      <c r="N199" s="15">
        <v>0</v>
      </c>
      <c r="O199" s="17">
        <f t="shared" ref="O199:O219" si="20">SUMPRODUCT(A$4:M$4, A199:M199)+N$4</f>
        <v>-5.2615129574558228</v>
      </c>
      <c r="P199" s="17">
        <f t="shared" ref="P199:P219" si="21">1/(1+EXP(0-O199))</f>
        <v>5.1606796173516885E-3</v>
      </c>
      <c r="Q199" s="17">
        <f t="shared" ref="Q199:Q219" si="22">IF(P199&lt;=0.5, 0, 1)</f>
        <v>0</v>
      </c>
      <c r="R199" s="17">
        <f t="shared" si="18"/>
        <v>0</v>
      </c>
      <c r="S199" s="17">
        <f t="shared" si="19"/>
        <v>0.99483932038264833</v>
      </c>
      <c r="T199" s="17">
        <f t="shared" ref="T199:T219" si="23">IF(S199=0, -100000, LN(S199))</f>
        <v>-5.1740419165970351E-3</v>
      </c>
    </row>
    <row r="200" spans="1:20" x14ac:dyDescent="0.3">
      <c r="A200" s="15">
        <v>63</v>
      </c>
      <c r="B200" s="15">
        <v>0</v>
      </c>
      <c r="C200" s="15">
        <v>4</v>
      </c>
      <c r="D200" s="15">
        <v>108</v>
      </c>
      <c r="E200" s="15">
        <v>269</v>
      </c>
      <c r="F200" s="15">
        <v>0</v>
      </c>
      <c r="G200" s="15">
        <v>0</v>
      </c>
      <c r="H200" s="15">
        <v>169</v>
      </c>
      <c r="I200" s="15">
        <v>1</v>
      </c>
      <c r="J200" s="15">
        <v>1.8</v>
      </c>
      <c r="K200" s="15">
        <v>2</v>
      </c>
      <c r="L200" s="15">
        <v>2</v>
      </c>
      <c r="M200" s="15">
        <v>3</v>
      </c>
      <c r="N200" s="15">
        <v>1</v>
      </c>
      <c r="O200" s="17">
        <f t="shared" si="20"/>
        <v>0.92820187424977263</v>
      </c>
      <c r="P200" s="17">
        <f t="shared" si="21"/>
        <v>0.71671034241143305</v>
      </c>
      <c r="Q200" s="17">
        <f t="shared" si="22"/>
        <v>1</v>
      </c>
      <c r="R200" s="17">
        <f t="shared" si="18"/>
        <v>0</v>
      </c>
      <c r="S200" s="17">
        <f t="shared" si="19"/>
        <v>0.71671034241143305</v>
      </c>
      <c r="T200" s="17">
        <f t="shared" si="23"/>
        <v>-0.33308350548580729</v>
      </c>
    </row>
    <row r="201" spans="1:20" x14ac:dyDescent="0.3">
      <c r="A201" s="15">
        <v>34</v>
      </c>
      <c r="B201" s="15">
        <v>0</v>
      </c>
      <c r="C201" s="15">
        <v>2</v>
      </c>
      <c r="D201" s="15">
        <v>118</v>
      </c>
      <c r="E201" s="15">
        <v>210</v>
      </c>
      <c r="F201" s="15">
        <v>0</v>
      </c>
      <c r="G201" s="15">
        <v>0</v>
      </c>
      <c r="H201" s="15">
        <v>192</v>
      </c>
      <c r="I201" s="15">
        <v>0</v>
      </c>
      <c r="J201" s="15">
        <v>0.7</v>
      </c>
      <c r="K201" s="15">
        <v>1</v>
      </c>
      <c r="L201" s="15">
        <v>0</v>
      </c>
      <c r="M201" s="15">
        <v>3</v>
      </c>
      <c r="N201" s="15">
        <v>0</v>
      </c>
      <c r="O201" s="17">
        <f t="shared" si="20"/>
        <v>-5.3842566193702632</v>
      </c>
      <c r="P201" s="17">
        <f t="shared" si="21"/>
        <v>4.5672939848295764E-3</v>
      </c>
      <c r="Q201" s="17">
        <f t="shared" si="22"/>
        <v>0</v>
      </c>
      <c r="R201" s="17">
        <f t="shared" si="18"/>
        <v>0</v>
      </c>
      <c r="S201" s="17">
        <f t="shared" si="19"/>
        <v>0.99543270601517042</v>
      </c>
      <c r="T201" s="17">
        <f t="shared" si="23"/>
        <v>-4.5777559393701695E-3</v>
      </c>
    </row>
    <row r="202" spans="1:20" x14ac:dyDescent="0.3">
      <c r="A202" s="15">
        <v>54</v>
      </c>
      <c r="B202" s="15">
        <v>0</v>
      </c>
      <c r="C202" s="15">
        <v>3</v>
      </c>
      <c r="D202" s="15">
        <v>160</v>
      </c>
      <c r="E202" s="15">
        <v>201</v>
      </c>
      <c r="F202" s="15">
        <v>0</v>
      </c>
      <c r="G202" s="15">
        <v>0</v>
      </c>
      <c r="H202" s="15">
        <v>163</v>
      </c>
      <c r="I202" s="15">
        <v>0</v>
      </c>
      <c r="J202" s="15">
        <v>0</v>
      </c>
      <c r="K202" s="15">
        <v>1</v>
      </c>
      <c r="L202" s="15">
        <v>1</v>
      </c>
      <c r="M202" s="15">
        <v>3</v>
      </c>
      <c r="N202" s="15">
        <v>0</v>
      </c>
      <c r="O202" s="17">
        <f t="shared" si="20"/>
        <v>-1.6412187635973838</v>
      </c>
      <c r="P202" s="17">
        <f t="shared" si="21"/>
        <v>0.16229929342951194</v>
      </c>
      <c r="Q202" s="17">
        <f t="shared" si="22"/>
        <v>0</v>
      </c>
      <c r="R202" s="17">
        <f t="shared" si="18"/>
        <v>0</v>
      </c>
      <c r="S202" s="17">
        <f t="shared" si="19"/>
        <v>0.83770070657048801</v>
      </c>
      <c r="T202" s="17">
        <f t="shared" si="23"/>
        <v>-0.17709439435789906</v>
      </c>
    </row>
    <row r="203" spans="1:20" x14ac:dyDescent="0.3">
      <c r="A203" s="15">
        <v>42</v>
      </c>
      <c r="B203" s="15">
        <v>1</v>
      </c>
      <c r="C203" s="15">
        <v>2</v>
      </c>
      <c r="D203" s="15">
        <v>120</v>
      </c>
      <c r="E203" s="15">
        <v>295</v>
      </c>
      <c r="F203" s="15">
        <v>0</v>
      </c>
      <c r="G203" s="15">
        <v>0</v>
      </c>
      <c r="H203" s="15">
        <v>162</v>
      </c>
      <c r="I203" s="15">
        <v>0</v>
      </c>
      <c r="J203" s="15">
        <v>0</v>
      </c>
      <c r="K203" s="15">
        <v>1</v>
      </c>
      <c r="L203" s="15">
        <v>0</v>
      </c>
      <c r="M203" s="15">
        <v>3</v>
      </c>
      <c r="N203" s="15">
        <v>0</v>
      </c>
      <c r="O203" s="17">
        <f t="shared" si="20"/>
        <v>-3.8199474659449377</v>
      </c>
      <c r="P203" s="17">
        <f t="shared" si="21"/>
        <v>2.1458392796292164E-2</v>
      </c>
      <c r="Q203" s="17">
        <f t="shared" si="22"/>
        <v>0</v>
      </c>
      <c r="R203" s="17">
        <f t="shared" si="18"/>
        <v>0</v>
      </c>
      <c r="S203" s="17">
        <f t="shared" si="19"/>
        <v>0.97854160720370786</v>
      </c>
      <c r="T203" s="17">
        <f t="shared" si="23"/>
        <v>-2.1691971635904576E-2</v>
      </c>
    </row>
    <row r="204" spans="1:20" x14ac:dyDescent="0.3">
      <c r="A204" s="15">
        <v>41</v>
      </c>
      <c r="B204" s="15">
        <v>1</v>
      </c>
      <c r="C204" s="15">
        <v>2</v>
      </c>
      <c r="D204" s="15">
        <v>110</v>
      </c>
      <c r="E204" s="15">
        <v>235</v>
      </c>
      <c r="F204" s="15">
        <v>0</v>
      </c>
      <c r="G204" s="15">
        <v>0</v>
      </c>
      <c r="H204" s="15">
        <v>153</v>
      </c>
      <c r="I204" s="15">
        <v>0</v>
      </c>
      <c r="J204" s="15">
        <v>0</v>
      </c>
      <c r="K204" s="15">
        <v>1</v>
      </c>
      <c r="L204" s="15">
        <v>0</v>
      </c>
      <c r="M204" s="15">
        <v>3</v>
      </c>
      <c r="N204" s="15">
        <v>0</v>
      </c>
      <c r="O204" s="17">
        <f t="shared" si="20"/>
        <v>-4.0763034545851875</v>
      </c>
      <c r="P204" s="17">
        <f t="shared" si="21"/>
        <v>1.6686902447152693E-2</v>
      </c>
      <c r="Q204" s="17">
        <f t="shared" si="22"/>
        <v>0</v>
      </c>
      <c r="R204" s="17">
        <f t="shared" si="18"/>
        <v>0</v>
      </c>
      <c r="S204" s="17">
        <f t="shared" si="19"/>
        <v>0.98331309755284735</v>
      </c>
      <c r="T204" s="17">
        <f t="shared" si="23"/>
        <v>-1.6827697287943071E-2</v>
      </c>
    </row>
    <row r="205" spans="1:20" x14ac:dyDescent="0.3">
      <c r="A205" s="15">
        <v>61</v>
      </c>
      <c r="B205" s="15">
        <v>1</v>
      </c>
      <c r="C205" s="15">
        <v>1</v>
      </c>
      <c r="D205" s="15">
        <v>134</v>
      </c>
      <c r="E205" s="15">
        <v>234</v>
      </c>
      <c r="F205" s="15">
        <v>0</v>
      </c>
      <c r="G205" s="15">
        <v>0</v>
      </c>
      <c r="H205" s="15">
        <v>145</v>
      </c>
      <c r="I205" s="15">
        <v>0</v>
      </c>
      <c r="J205" s="15">
        <v>2.6</v>
      </c>
      <c r="K205" s="15">
        <v>2</v>
      </c>
      <c r="L205" s="15">
        <v>2</v>
      </c>
      <c r="M205" s="15">
        <v>3</v>
      </c>
      <c r="N205" s="15">
        <v>1</v>
      </c>
      <c r="O205" s="17">
        <f t="shared" si="20"/>
        <v>3.3870387768685006E-2</v>
      </c>
      <c r="P205" s="17">
        <f t="shared" si="21"/>
        <v>0.50846678753052432</v>
      </c>
      <c r="Q205" s="17">
        <f t="shared" si="22"/>
        <v>1</v>
      </c>
      <c r="R205" s="17">
        <f t="shared" si="18"/>
        <v>0</v>
      </c>
      <c r="S205" s="17">
        <f t="shared" si="19"/>
        <v>0.50846678753052432</v>
      </c>
      <c r="T205" s="17">
        <f t="shared" si="23"/>
        <v>-0.67635538021751918</v>
      </c>
    </row>
    <row r="206" spans="1:20" x14ac:dyDescent="0.3">
      <c r="A206" s="15">
        <v>64</v>
      </c>
      <c r="B206" s="15">
        <v>1</v>
      </c>
      <c r="C206" s="15">
        <v>4</v>
      </c>
      <c r="D206" s="15">
        <v>128</v>
      </c>
      <c r="E206" s="15">
        <v>263</v>
      </c>
      <c r="F206" s="15">
        <v>0</v>
      </c>
      <c r="G206" s="15">
        <v>0</v>
      </c>
      <c r="H206" s="15">
        <v>105</v>
      </c>
      <c r="I206" s="15">
        <v>1</v>
      </c>
      <c r="J206" s="15">
        <v>0.2</v>
      </c>
      <c r="K206" s="15">
        <v>2</v>
      </c>
      <c r="L206" s="15">
        <v>1</v>
      </c>
      <c r="M206" s="15">
        <v>7</v>
      </c>
      <c r="N206" s="15">
        <v>0</v>
      </c>
      <c r="O206" s="17">
        <f t="shared" si="20"/>
        <v>3.221183830263735</v>
      </c>
      <c r="P206" s="17">
        <f t="shared" si="21"/>
        <v>0.96162372590329959</v>
      </c>
      <c r="Q206" s="17">
        <f t="shared" si="22"/>
        <v>1</v>
      </c>
      <c r="R206" s="17">
        <f t="shared" si="18"/>
        <v>1</v>
      </c>
      <c r="S206" s="17">
        <f t="shared" si="19"/>
        <v>3.8376274096700413E-2</v>
      </c>
      <c r="T206" s="17">
        <f t="shared" si="23"/>
        <v>-3.2603158724089751</v>
      </c>
    </row>
    <row r="207" spans="1:20" x14ac:dyDescent="0.3">
      <c r="A207" s="15">
        <v>42</v>
      </c>
      <c r="B207" s="15">
        <v>0</v>
      </c>
      <c r="C207" s="15">
        <v>3</v>
      </c>
      <c r="D207" s="15">
        <v>120</v>
      </c>
      <c r="E207" s="15">
        <v>209</v>
      </c>
      <c r="F207" s="15">
        <v>0</v>
      </c>
      <c r="G207" s="15">
        <v>0</v>
      </c>
      <c r="H207" s="15">
        <v>173</v>
      </c>
      <c r="I207" s="15">
        <v>0</v>
      </c>
      <c r="J207" s="15">
        <v>0</v>
      </c>
      <c r="K207" s="15">
        <v>2</v>
      </c>
      <c r="L207" s="15">
        <v>0</v>
      </c>
      <c r="M207" s="15">
        <v>3</v>
      </c>
      <c r="N207" s="15">
        <v>0</v>
      </c>
      <c r="O207" s="17">
        <f t="shared" si="20"/>
        <v>-3.4826696094239793</v>
      </c>
      <c r="P207" s="17">
        <f t="shared" si="21"/>
        <v>2.9809375637209236E-2</v>
      </c>
      <c r="Q207" s="17">
        <f t="shared" si="22"/>
        <v>0</v>
      </c>
      <c r="R207" s="17">
        <f t="shared" si="18"/>
        <v>0</v>
      </c>
      <c r="S207" s="17">
        <f t="shared" si="19"/>
        <v>0.9701906243627908</v>
      </c>
      <c r="T207" s="17">
        <f t="shared" si="23"/>
        <v>-3.0262706830586707E-2</v>
      </c>
    </row>
    <row r="208" spans="1:20" x14ac:dyDescent="0.3">
      <c r="A208" s="15">
        <v>58</v>
      </c>
      <c r="B208" s="15">
        <v>0</v>
      </c>
      <c r="C208" s="15">
        <v>2</v>
      </c>
      <c r="D208" s="15">
        <v>136</v>
      </c>
      <c r="E208" s="15">
        <v>319</v>
      </c>
      <c r="F208" s="15">
        <v>1</v>
      </c>
      <c r="G208" s="15">
        <v>2</v>
      </c>
      <c r="H208" s="15">
        <v>152</v>
      </c>
      <c r="I208" s="15">
        <v>0</v>
      </c>
      <c r="J208" s="15">
        <v>0</v>
      </c>
      <c r="K208" s="15">
        <v>1</v>
      </c>
      <c r="L208" s="15">
        <v>2</v>
      </c>
      <c r="M208" s="15">
        <v>3</v>
      </c>
      <c r="N208" s="15">
        <v>1</v>
      </c>
      <c r="O208" s="17">
        <f t="shared" si="20"/>
        <v>-1.3558728250044787</v>
      </c>
      <c r="P208" s="17">
        <f t="shared" si="21"/>
        <v>0.20491189518576652</v>
      </c>
      <c r="Q208" s="17">
        <f t="shared" si="22"/>
        <v>0</v>
      </c>
      <c r="R208" s="17">
        <f t="shared" si="18"/>
        <v>1</v>
      </c>
      <c r="S208" s="17">
        <f t="shared" si="19"/>
        <v>0.20491189518576652</v>
      </c>
      <c r="T208" s="17">
        <f t="shared" si="23"/>
        <v>-1.5851751718070701</v>
      </c>
    </row>
    <row r="209" spans="1:20" x14ac:dyDescent="0.3">
      <c r="A209" s="15">
        <v>60</v>
      </c>
      <c r="B209" s="15">
        <v>0</v>
      </c>
      <c r="C209" s="15">
        <v>1</v>
      </c>
      <c r="D209" s="15">
        <v>150</v>
      </c>
      <c r="E209" s="15">
        <v>240</v>
      </c>
      <c r="F209" s="15">
        <v>0</v>
      </c>
      <c r="G209" s="15">
        <v>0</v>
      </c>
      <c r="H209" s="15">
        <v>171</v>
      </c>
      <c r="I209" s="15">
        <v>0</v>
      </c>
      <c r="J209" s="15">
        <v>0.9</v>
      </c>
      <c r="K209" s="15">
        <v>1</v>
      </c>
      <c r="L209" s="15">
        <v>0</v>
      </c>
      <c r="M209" s="15">
        <v>3</v>
      </c>
      <c r="N209" s="15">
        <v>0</v>
      </c>
      <c r="O209" s="17">
        <f t="shared" si="20"/>
        <v>-4.9577045571467622</v>
      </c>
      <c r="P209" s="17">
        <f t="shared" si="21"/>
        <v>6.9799814998028759E-3</v>
      </c>
      <c r="Q209" s="17">
        <f t="shared" si="22"/>
        <v>0</v>
      </c>
      <c r="R209" s="17">
        <f t="shared" si="18"/>
        <v>0</v>
      </c>
      <c r="S209" s="17">
        <f t="shared" si="19"/>
        <v>0.99302001850019717</v>
      </c>
      <c r="T209" s="17">
        <f t="shared" si="23"/>
        <v>-7.0044555226470139E-3</v>
      </c>
    </row>
    <row r="210" spans="1:20" x14ac:dyDescent="0.3">
      <c r="A210" s="15">
        <v>42</v>
      </c>
      <c r="B210" s="15">
        <v>1</v>
      </c>
      <c r="C210" s="15">
        <v>4</v>
      </c>
      <c r="D210" s="15">
        <v>136</v>
      </c>
      <c r="E210" s="15">
        <v>315</v>
      </c>
      <c r="F210" s="15">
        <v>0</v>
      </c>
      <c r="G210" s="15">
        <v>0</v>
      </c>
      <c r="H210" s="15">
        <v>125</v>
      </c>
      <c r="I210" s="15">
        <v>1</v>
      </c>
      <c r="J210" s="15">
        <v>1.8</v>
      </c>
      <c r="K210" s="15">
        <v>2</v>
      </c>
      <c r="L210" s="15">
        <v>0</v>
      </c>
      <c r="M210" s="15">
        <v>6</v>
      </c>
      <c r="N210" s="15">
        <v>1</v>
      </c>
      <c r="O210" s="17">
        <f t="shared" si="20"/>
        <v>2.077036152971294</v>
      </c>
      <c r="P210" s="17">
        <f t="shared" si="21"/>
        <v>0.88865109731125336</v>
      </c>
      <c r="Q210" s="17">
        <f t="shared" si="22"/>
        <v>1</v>
      </c>
      <c r="R210" s="17">
        <f t="shared" si="18"/>
        <v>0</v>
      </c>
      <c r="S210" s="17">
        <f t="shared" si="19"/>
        <v>0.88865109731125336</v>
      </c>
      <c r="T210" s="17">
        <f t="shared" si="23"/>
        <v>-0.11805058696988427</v>
      </c>
    </row>
    <row r="211" spans="1:20" x14ac:dyDescent="0.3">
      <c r="A211" s="15">
        <v>61</v>
      </c>
      <c r="B211" s="15">
        <v>1</v>
      </c>
      <c r="C211" s="15">
        <v>4</v>
      </c>
      <c r="D211" s="15">
        <v>140</v>
      </c>
      <c r="E211" s="15">
        <v>207</v>
      </c>
      <c r="F211" s="15">
        <v>0</v>
      </c>
      <c r="G211" s="15">
        <v>2</v>
      </c>
      <c r="H211" s="15">
        <v>138</v>
      </c>
      <c r="I211" s="15">
        <v>1</v>
      </c>
      <c r="J211" s="15">
        <v>1.9</v>
      </c>
      <c r="K211" s="15">
        <v>1</v>
      </c>
      <c r="L211" s="15">
        <v>1</v>
      </c>
      <c r="M211" s="15">
        <v>7</v>
      </c>
      <c r="N211" s="15">
        <v>1</v>
      </c>
      <c r="O211" s="17">
        <f t="shared" si="20"/>
        <v>2.8012937738513113</v>
      </c>
      <c r="P211" s="17">
        <f t="shared" si="21"/>
        <v>0.94274569717335677</v>
      </c>
      <c r="Q211" s="17">
        <f t="shared" si="22"/>
        <v>1</v>
      </c>
      <c r="R211" s="17">
        <f t="shared" si="18"/>
        <v>0</v>
      </c>
      <c r="S211" s="17">
        <f t="shared" si="19"/>
        <v>0.94274569717335677</v>
      </c>
      <c r="T211" s="17">
        <f t="shared" si="23"/>
        <v>-5.8958706976752047E-2</v>
      </c>
    </row>
    <row r="212" spans="1:20" x14ac:dyDescent="0.3">
      <c r="A212" s="15">
        <v>66</v>
      </c>
      <c r="B212" s="15">
        <v>1</v>
      </c>
      <c r="C212" s="15">
        <v>4</v>
      </c>
      <c r="D212" s="15">
        <v>160</v>
      </c>
      <c r="E212" s="15">
        <v>228</v>
      </c>
      <c r="F212" s="15">
        <v>0</v>
      </c>
      <c r="G212" s="15">
        <v>2</v>
      </c>
      <c r="H212" s="15">
        <v>138</v>
      </c>
      <c r="I212" s="15">
        <v>0</v>
      </c>
      <c r="J212" s="15">
        <v>2.2999999999999998</v>
      </c>
      <c r="K212" s="15">
        <v>1</v>
      </c>
      <c r="L212" s="15">
        <v>0</v>
      </c>
      <c r="M212" s="15">
        <v>6</v>
      </c>
      <c r="N212" s="15">
        <v>0</v>
      </c>
      <c r="O212" s="17">
        <f t="shared" si="20"/>
        <v>1.0667258729276465</v>
      </c>
      <c r="P212" s="17">
        <f t="shared" si="21"/>
        <v>0.74397376890679334</v>
      </c>
      <c r="Q212" s="17">
        <f t="shared" si="22"/>
        <v>1</v>
      </c>
      <c r="R212" s="17">
        <f t="shared" si="18"/>
        <v>1</v>
      </c>
      <c r="S212" s="17">
        <f t="shared" si="19"/>
        <v>0.25602623109320666</v>
      </c>
      <c r="T212" s="17">
        <f t="shared" si="23"/>
        <v>-1.3624753745439369</v>
      </c>
    </row>
    <row r="213" spans="1:20" x14ac:dyDescent="0.3">
      <c r="A213" s="15">
        <v>66</v>
      </c>
      <c r="B213" s="15">
        <v>0</v>
      </c>
      <c r="C213" s="15">
        <v>3</v>
      </c>
      <c r="D213" s="15">
        <v>146</v>
      </c>
      <c r="E213" s="15">
        <v>278</v>
      </c>
      <c r="F213" s="15">
        <v>0</v>
      </c>
      <c r="G213" s="15">
        <v>2</v>
      </c>
      <c r="H213" s="15">
        <v>152</v>
      </c>
      <c r="I213" s="15">
        <v>0</v>
      </c>
      <c r="J213" s="15">
        <v>0</v>
      </c>
      <c r="K213" s="15">
        <v>2</v>
      </c>
      <c r="L213" s="15">
        <v>1</v>
      </c>
      <c r="M213" s="15">
        <v>3</v>
      </c>
      <c r="N213" s="15">
        <v>0</v>
      </c>
      <c r="O213" s="17">
        <f t="shared" si="20"/>
        <v>-0.45171516891486441</v>
      </c>
      <c r="P213" s="17">
        <f t="shared" si="21"/>
        <v>0.38895304674430442</v>
      </c>
      <c r="Q213" s="17">
        <f t="shared" si="22"/>
        <v>0</v>
      </c>
      <c r="R213" s="17">
        <f t="shared" si="18"/>
        <v>0</v>
      </c>
      <c r="S213" s="17">
        <f t="shared" si="19"/>
        <v>0.61104695325569558</v>
      </c>
      <c r="T213" s="17">
        <f t="shared" si="23"/>
        <v>-0.4925814761907551</v>
      </c>
    </row>
    <row r="214" spans="1:20" x14ac:dyDescent="0.3">
      <c r="A214" s="15">
        <v>58</v>
      </c>
      <c r="B214" s="15">
        <v>0</v>
      </c>
      <c r="C214" s="15">
        <v>4</v>
      </c>
      <c r="D214" s="15">
        <v>130</v>
      </c>
      <c r="E214" s="15">
        <v>197</v>
      </c>
      <c r="F214" s="15">
        <v>0</v>
      </c>
      <c r="G214" s="15">
        <v>0</v>
      </c>
      <c r="H214" s="15">
        <v>131</v>
      </c>
      <c r="I214" s="15">
        <v>0</v>
      </c>
      <c r="J214" s="15">
        <v>0.6</v>
      </c>
      <c r="K214" s="15">
        <v>2</v>
      </c>
      <c r="L214" s="15">
        <v>0</v>
      </c>
      <c r="M214" s="15">
        <v>3</v>
      </c>
      <c r="N214" s="15">
        <v>0</v>
      </c>
      <c r="O214" s="17">
        <f t="shared" si="20"/>
        <v>-1.5281950174537764</v>
      </c>
      <c r="P214" s="17">
        <f t="shared" si="21"/>
        <v>0.1782579297837493</v>
      </c>
      <c r="Q214" s="17">
        <f t="shared" si="22"/>
        <v>0</v>
      </c>
      <c r="R214" s="17">
        <f t="shared" si="18"/>
        <v>0</v>
      </c>
      <c r="S214" s="17">
        <f t="shared" si="19"/>
        <v>0.82174207021625068</v>
      </c>
      <c r="T214" s="17">
        <f t="shared" si="23"/>
        <v>-0.19632871635811283</v>
      </c>
    </row>
    <row r="215" spans="1:20" x14ac:dyDescent="0.3">
      <c r="A215" s="15">
        <v>57</v>
      </c>
      <c r="B215" s="15">
        <v>1</v>
      </c>
      <c r="C215" s="15">
        <v>4</v>
      </c>
      <c r="D215" s="15">
        <v>110</v>
      </c>
      <c r="E215" s="15">
        <v>335</v>
      </c>
      <c r="F215" s="15">
        <v>0</v>
      </c>
      <c r="G215" s="15">
        <v>0</v>
      </c>
      <c r="H215" s="15">
        <v>143</v>
      </c>
      <c r="I215" s="15">
        <v>1</v>
      </c>
      <c r="J215" s="15">
        <v>3</v>
      </c>
      <c r="K215" s="15">
        <v>2</v>
      </c>
      <c r="L215" s="15">
        <v>1</v>
      </c>
      <c r="M215" s="15">
        <v>7</v>
      </c>
      <c r="N215" s="15">
        <v>1</v>
      </c>
      <c r="O215" s="17">
        <f t="shared" si="20"/>
        <v>2.7571344664533672</v>
      </c>
      <c r="P215" s="17">
        <f t="shared" si="21"/>
        <v>0.94031501534893636</v>
      </c>
      <c r="Q215" s="17">
        <f t="shared" si="22"/>
        <v>1</v>
      </c>
      <c r="R215" s="17">
        <f t="shared" si="18"/>
        <v>0</v>
      </c>
      <c r="S215" s="17">
        <f t="shared" si="19"/>
        <v>0.94031501534893636</v>
      </c>
      <c r="T215" s="17">
        <f t="shared" si="23"/>
        <v>-6.1540337147526561E-2</v>
      </c>
    </row>
    <row r="216" spans="1:20" x14ac:dyDescent="0.3">
      <c r="A216" s="15">
        <v>55</v>
      </c>
      <c r="B216" s="15">
        <v>0</v>
      </c>
      <c r="C216" s="15">
        <v>4</v>
      </c>
      <c r="D216" s="15">
        <v>128</v>
      </c>
      <c r="E216" s="15">
        <v>205</v>
      </c>
      <c r="F216" s="15">
        <v>0</v>
      </c>
      <c r="G216" s="15">
        <v>1</v>
      </c>
      <c r="H216" s="15">
        <v>130</v>
      </c>
      <c r="I216" s="15">
        <v>1</v>
      </c>
      <c r="J216" s="15">
        <v>2</v>
      </c>
      <c r="K216" s="15">
        <v>2</v>
      </c>
      <c r="L216" s="15">
        <v>1</v>
      </c>
      <c r="M216" s="15">
        <v>7</v>
      </c>
      <c r="N216" s="15">
        <v>1</v>
      </c>
      <c r="O216" s="17">
        <f t="shared" si="20"/>
        <v>2.3907408422469292</v>
      </c>
      <c r="P216" s="17">
        <f t="shared" si="21"/>
        <v>0.91611851596010452</v>
      </c>
      <c r="Q216" s="17">
        <f t="shared" si="22"/>
        <v>1</v>
      </c>
      <c r="R216" s="17">
        <f t="shared" ref="R216:R219" si="24">IF(N216=Q216, 0, 1)</f>
        <v>0</v>
      </c>
      <c r="S216" s="17">
        <f t="shared" ref="S216:S219" si="25">IF(N216=1, P216, 1-P216)</f>
        <v>0.91611851596010452</v>
      </c>
      <c r="T216" s="17">
        <f t="shared" si="23"/>
        <v>-8.7609538441503168E-2</v>
      </c>
    </row>
    <row r="217" spans="1:20" x14ac:dyDescent="0.3">
      <c r="A217" s="15">
        <v>67</v>
      </c>
      <c r="B217" s="15">
        <v>1</v>
      </c>
      <c r="C217" s="15">
        <v>3</v>
      </c>
      <c r="D217" s="15">
        <v>152</v>
      </c>
      <c r="E217" s="15">
        <v>212</v>
      </c>
      <c r="F217" s="15">
        <v>0</v>
      </c>
      <c r="G217" s="15">
        <v>2</v>
      </c>
      <c r="H217" s="15">
        <v>150</v>
      </c>
      <c r="I217" s="15">
        <v>0</v>
      </c>
      <c r="J217" s="15">
        <v>0.8</v>
      </c>
      <c r="K217" s="15">
        <v>2</v>
      </c>
      <c r="L217" s="15">
        <v>0</v>
      </c>
      <c r="M217" s="15">
        <v>7</v>
      </c>
      <c r="N217" s="15">
        <v>1</v>
      </c>
      <c r="O217" s="17">
        <f t="shared" si="20"/>
        <v>0.50226723968578924</v>
      </c>
      <c r="P217" s="17">
        <f t="shared" si="21"/>
        <v>0.62299199282563933</v>
      </c>
      <c r="Q217" s="17">
        <f t="shared" si="22"/>
        <v>1</v>
      </c>
      <c r="R217" s="17">
        <f t="shared" si="24"/>
        <v>0</v>
      </c>
      <c r="S217" s="17">
        <f t="shared" si="25"/>
        <v>0.62299199282563933</v>
      </c>
      <c r="T217" s="17">
        <f t="shared" si="23"/>
        <v>-0.47322161288459985</v>
      </c>
    </row>
    <row r="218" spans="1:20" x14ac:dyDescent="0.3">
      <c r="A218" s="15">
        <v>63</v>
      </c>
      <c r="B218" s="15">
        <v>0</v>
      </c>
      <c r="C218" s="15">
        <v>4</v>
      </c>
      <c r="D218" s="15">
        <v>124</v>
      </c>
      <c r="E218" s="15">
        <v>197</v>
      </c>
      <c r="F218" s="15">
        <v>0</v>
      </c>
      <c r="G218" s="15">
        <v>0</v>
      </c>
      <c r="H218" s="15">
        <v>136</v>
      </c>
      <c r="I218" s="15">
        <v>1</v>
      </c>
      <c r="J218" s="15">
        <v>0</v>
      </c>
      <c r="K218" s="15">
        <v>2</v>
      </c>
      <c r="L218" s="15">
        <v>0</v>
      </c>
      <c r="M218" s="15">
        <v>3</v>
      </c>
      <c r="N218" s="15">
        <v>1</v>
      </c>
      <c r="O218" s="17">
        <f t="shared" si="20"/>
        <v>-1.2797277976502546</v>
      </c>
      <c r="P218" s="17">
        <f t="shared" si="21"/>
        <v>0.2175965620013379</v>
      </c>
      <c r="Q218" s="17">
        <f t="shared" si="22"/>
        <v>0</v>
      </c>
      <c r="R218" s="17">
        <f t="shared" si="24"/>
        <v>1</v>
      </c>
      <c r="S218" s="17">
        <f t="shared" si="25"/>
        <v>0.2175965620013379</v>
      </c>
      <c r="T218" s="17">
        <f t="shared" si="23"/>
        <v>-1.5251125637513694</v>
      </c>
    </row>
    <row r="219" spans="1:20" x14ac:dyDescent="0.3">
      <c r="A219" s="15">
        <v>41</v>
      </c>
      <c r="B219" s="15">
        <v>1</v>
      </c>
      <c r="C219" s="15">
        <v>2</v>
      </c>
      <c r="D219" s="15">
        <v>120</v>
      </c>
      <c r="E219" s="15">
        <v>157</v>
      </c>
      <c r="F219" s="15">
        <v>0</v>
      </c>
      <c r="G219" s="15">
        <v>0</v>
      </c>
      <c r="H219" s="15">
        <v>182</v>
      </c>
      <c r="I219" s="15">
        <v>0</v>
      </c>
      <c r="J219" s="15">
        <v>0</v>
      </c>
      <c r="K219" s="15">
        <v>1</v>
      </c>
      <c r="L219" s="15">
        <v>0</v>
      </c>
      <c r="M219" s="15">
        <v>3</v>
      </c>
      <c r="N219" s="15">
        <v>0</v>
      </c>
      <c r="O219" s="17">
        <f>SUMPRODUCT(A$4:M$4, A219:M219)+N$4</f>
        <v>-4.5688949626015267</v>
      </c>
      <c r="P219" s="17">
        <f>1/(1+EXP(0-O219))</f>
        <v>1.0262990797204274E-2</v>
      </c>
      <c r="Q219" s="17">
        <f>IF(P219&lt;=0.5, 0, 1)</f>
        <v>0</v>
      </c>
      <c r="R219" s="17">
        <f>IF(N219=Q219, 0, 1)</f>
        <v>0</v>
      </c>
      <c r="S219" s="17">
        <f t="shared" si="25"/>
        <v>0.98973700920279573</v>
      </c>
      <c r="T219" s="17">
        <f t="shared" si="23"/>
        <v>-1.0316018413890772E-2</v>
      </c>
    </row>
    <row r="223" spans="1:20" x14ac:dyDescent="0.3">
      <c r="A223" s="14" t="s">
        <v>51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8" t="s">
        <v>52</v>
      </c>
      <c r="O223" s="17" t="s">
        <v>27</v>
      </c>
      <c r="P223" s="17" t="s">
        <v>28</v>
      </c>
      <c r="Q223" s="17" t="s">
        <v>53</v>
      </c>
      <c r="R223" s="17" t="s">
        <v>30</v>
      </c>
    </row>
    <row r="224" spans="1:20" x14ac:dyDescent="0.3">
      <c r="A224" s="17">
        <v>63</v>
      </c>
      <c r="B224" s="17">
        <v>1</v>
      </c>
      <c r="C224" s="17">
        <v>1</v>
      </c>
      <c r="D224" s="17">
        <v>145</v>
      </c>
      <c r="E224" s="17">
        <v>233</v>
      </c>
      <c r="F224" s="17">
        <v>1</v>
      </c>
      <c r="G224" s="17">
        <v>2</v>
      </c>
      <c r="H224" s="17">
        <v>150</v>
      </c>
      <c r="I224" s="17">
        <v>0</v>
      </c>
      <c r="J224" s="17">
        <v>2.2999999999999998</v>
      </c>
      <c r="K224" s="17">
        <v>3</v>
      </c>
      <c r="L224" s="17">
        <v>0</v>
      </c>
      <c r="M224" s="17">
        <v>6</v>
      </c>
      <c r="N224" s="17">
        <v>0</v>
      </c>
      <c r="O224">
        <f>SUMPRODUCT(A$4:M$4, A224:M224)+N$4</f>
        <v>-0.88894512926523994</v>
      </c>
      <c r="P224">
        <f>1/(1+EXP(0-O224))</f>
        <v>0.29132756368160229</v>
      </c>
      <c r="Q224" s="17">
        <f>IF(P224&lt;=0.5, 0, 1)</f>
        <v>0</v>
      </c>
      <c r="R224" s="17">
        <f>IF(N224=Q224, 0, 1)</f>
        <v>0</v>
      </c>
    </row>
    <row r="225" spans="1:18" x14ac:dyDescent="0.3">
      <c r="A225" s="17">
        <v>67</v>
      </c>
      <c r="B225" s="17">
        <v>1</v>
      </c>
      <c r="C225" s="17">
        <v>4</v>
      </c>
      <c r="D225" s="17">
        <v>120</v>
      </c>
      <c r="E225" s="17">
        <v>229</v>
      </c>
      <c r="F225" s="17">
        <v>0</v>
      </c>
      <c r="G225" s="17">
        <v>2</v>
      </c>
      <c r="H225" s="17">
        <v>129</v>
      </c>
      <c r="I225" s="17">
        <v>1</v>
      </c>
      <c r="J225" s="17">
        <v>2.6</v>
      </c>
      <c r="K225" s="17">
        <v>2</v>
      </c>
      <c r="L225" s="17">
        <v>2</v>
      </c>
      <c r="M225" s="17">
        <v>7</v>
      </c>
      <c r="N225" s="17">
        <v>1</v>
      </c>
      <c r="O225" s="17">
        <f t="shared" ref="O225:O288" si="26">SUMPRODUCT(A$4:M$4, A225:M225)+N$4</f>
        <v>4.7810549341876918</v>
      </c>
      <c r="P225" s="17">
        <f t="shared" ref="P225:P288" si="27">1/(1+EXP(0-O225))</f>
        <v>0.99168261273337166</v>
      </c>
      <c r="Q225" s="17">
        <f t="shared" ref="Q225:Q288" si="28">IF(P225&lt;=0.5, 0, 1)</f>
        <v>1</v>
      </c>
      <c r="R225" s="17">
        <f t="shared" ref="R225:R288" si="29">IF(N225=Q225, 0, 1)</f>
        <v>0</v>
      </c>
    </row>
    <row r="226" spans="1:18" x14ac:dyDescent="0.3">
      <c r="A226" s="17">
        <v>37</v>
      </c>
      <c r="B226" s="17">
        <v>1</v>
      </c>
      <c r="C226" s="17">
        <v>3</v>
      </c>
      <c r="D226" s="17">
        <v>130</v>
      </c>
      <c r="E226" s="17">
        <v>250</v>
      </c>
      <c r="F226" s="17">
        <v>0</v>
      </c>
      <c r="G226" s="17">
        <v>0</v>
      </c>
      <c r="H226" s="17">
        <v>187</v>
      </c>
      <c r="I226" s="17">
        <v>0</v>
      </c>
      <c r="J226" s="17">
        <v>3.5</v>
      </c>
      <c r="K226" s="17">
        <v>3</v>
      </c>
      <c r="L226" s="17">
        <v>0</v>
      </c>
      <c r="M226" s="17">
        <v>3</v>
      </c>
      <c r="N226" s="17">
        <v>0</v>
      </c>
      <c r="O226" s="17">
        <f t="shared" si="26"/>
        <v>-0.74702144976007823</v>
      </c>
      <c r="P226" s="17">
        <f t="shared" si="27"/>
        <v>0.32147065808774383</v>
      </c>
      <c r="Q226" s="17">
        <f t="shared" si="28"/>
        <v>0</v>
      </c>
      <c r="R226" s="17">
        <f t="shared" si="29"/>
        <v>0</v>
      </c>
    </row>
    <row r="227" spans="1:18" x14ac:dyDescent="0.3">
      <c r="A227" s="17">
        <v>41</v>
      </c>
      <c r="B227" s="17">
        <v>0</v>
      </c>
      <c r="C227" s="17">
        <v>2</v>
      </c>
      <c r="D227" s="17">
        <v>130</v>
      </c>
      <c r="E227" s="17">
        <v>204</v>
      </c>
      <c r="F227" s="17">
        <v>0</v>
      </c>
      <c r="G227" s="17">
        <v>2</v>
      </c>
      <c r="H227" s="17">
        <v>172</v>
      </c>
      <c r="I227" s="17">
        <v>0</v>
      </c>
      <c r="J227" s="17">
        <v>1.4</v>
      </c>
      <c r="K227" s="17">
        <v>1</v>
      </c>
      <c r="L227" s="17">
        <v>0</v>
      </c>
      <c r="M227" s="17">
        <v>3</v>
      </c>
      <c r="N227" s="17">
        <v>0</v>
      </c>
      <c r="O227" s="17">
        <f t="shared" si="26"/>
        <v>-4.0479532046740223</v>
      </c>
      <c r="P227" s="17">
        <f t="shared" si="27"/>
        <v>1.7158516589580546E-2</v>
      </c>
      <c r="Q227" s="17">
        <f t="shared" si="28"/>
        <v>0</v>
      </c>
      <c r="R227" s="17">
        <f t="shared" si="29"/>
        <v>0</v>
      </c>
    </row>
    <row r="228" spans="1:18" x14ac:dyDescent="0.3">
      <c r="A228" s="17">
        <v>53</v>
      </c>
      <c r="B228" s="17">
        <v>1</v>
      </c>
      <c r="C228" s="17">
        <v>4</v>
      </c>
      <c r="D228" s="17">
        <v>140</v>
      </c>
      <c r="E228" s="17">
        <v>203</v>
      </c>
      <c r="F228" s="17">
        <v>1</v>
      </c>
      <c r="G228" s="17">
        <v>2</v>
      </c>
      <c r="H228" s="17">
        <v>155</v>
      </c>
      <c r="I228" s="17">
        <v>1</v>
      </c>
      <c r="J228" s="17">
        <v>3.1</v>
      </c>
      <c r="K228" s="17">
        <v>3</v>
      </c>
      <c r="L228" s="17">
        <v>0</v>
      </c>
      <c r="M228" s="17">
        <v>7</v>
      </c>
      <c r="N228" s="17">
        <v>1</v>
      </c>
      <c r="O228" s="17">
        <f t="shared" si="26"/>
        <v>2.6064603159382607</v>
      </c>
      <c r="P228" s="17">
        <f t="shared" si="27"/>
        <v>0.93127619906661552</v>
      </c>
      <c r="Q228" s="17">
        <f t="shared" si="28"/>
        <v>1</v>
      </c>
      <c r="R228" s="17">
        <f t="shared" si="29"/>
        <v>0</v>
      </c>
    </row>
    <row r="229" spans="1:18" x14ac:dyDescent="0.3">
      <c r="A229" s="17">
        <v>57</v>
      </c>
      <c r="B229" s="17">
        <v>1</v>
      </c>
      <c r="C229" s="17">
        <v>4</v>
      </c>
      <c r="D229" s="17">
        <v>140</v>
      </c>
      <c r="E229" s="17">
        <v>192</v>
      </c>
      <c r="F229" s="17">
        <v>0</v>
      </c>
      <c r="G229" s="17">
        <v>0</v>
      </c>
      <c r="H229" s="17">
        <v>148</v>
      </c>
      <c r="I229" s="17">
        <v>0</v>
      </c>
      <c r="J229" s="17">
        <v>0.4</v>
      </c>
      <c r="K229" s="17">
        <v>2</v>
      </c>
      <c r="L229" s="17">
        <v>0</v>
      </c>
      <c r="M229" s="17">
        <v>6</v>
      </c>
      <c r="N229" s="17">
        <v>0</v>
      </c>
      <c r="O229" s="17">
        <f t="shared" si="26"/>
        <v>0.19702291825969276</v>
      </c>
      <c r="P229" s="17">
        <f t="shared" si="27"/>
        <v>0.54909701144862355</v>
      </c>
      <c r="Q229" s="17">
        <f t="shared" si="28"/>
        <v>1</v>
      </c>
      <c r="R229" s="17">
        <f t="shared" si="29"/>
        <v>1</v>
      </c>
    </row>
    <row r="230" spans="1:18" x14ac:dyDescent="0.3">
      <c r="A230" s="17">
        <v>56</v>
      </c>
      <c r="B230" s="17">
        <v>1</v>
      </c>
      <c r="C230" s="17">
        <v>3</v>
      </c>
      <c r="D230" s="17">
        <v>130</v>
      </c>
      <c r="E230" s="17">
        <v>256</v>
      </c>
      <c r="F230" s="17">
        <v>1</v>
      </c>
      <c r="G230" s="17">
        <v>2</v>
      </c>
      <c r="H230" s="17">
        <v>142</v>
      </c>
      <c r="I230" s="17">
        <v>1</v>
      </c>
      <c r="J230" s="17">
        <v>0.6</v>
      </c>
      <c r="K230" s="17">
        <v>2</v>
      </c>
      <c r="L230" s="17">
        <v>1</v>
      </c>
      <c r="M230" s="17">
        <v>6</v>
      </c>
      <c r="N230" s="17">
        <v>1</v>
      </c>
      <c r="O230" s="17">
        <f t="shared" si="26"/>
        <v>1.510164441640848</v>
      </c>
      <c r="P230" s="17">
        <f t="shared" si="27"/>
        <v>0.81908557581157859</v>
      </c>
      <c r="Q230" s="17">
        <f t="shared" si="28"/>
        <v>1</v>
      </c>
      <c r="R230" s="17">
        <f t="shared" si="29"/>
        <v>0</v>
      </c>
    </row>
    <row r="231" spans="1:18" x14ac:dyDescent="0.3">
      <c r="A231" s="17">
        <v>52</v>
      </c>
      <c r="B231" s="17">
        <v>1</v>
      </c>
      <c r="C231" s="17">
        <v>3</v>
      </c>
      <c r="D231" s="17">
        <v>172</v>
      </c>
      <c r="E231" s="17">
        <v>199</v>
      </c>
      <c r="F231" s="17">
        <v>1</v>
      </c>
      <c r="G231" s="17">
        <v>0</v>
      </c>
      <c r="H231" s="17">
        <v>162</v>
      </c>
      <c r="I231" s="17">
        <v>0</v>
      </c>
      <c r="J231" s="17">
        <v>0.5</v>
      </c>
      <c r="K231" s="17">
        <v>1</v>
      </c>
      <c r="L231" s="17">
        <v>0</v>
      </c>
      <c r="M231" s="17">
        <v>7</v>
      </c>
      <c r="N231" s="17">
        <v>0</v>
      </c>
      <c r="O231" s="17">
        <f t="shared" si="26"/>
        <v>-0.89930065674224124</v>
      </c>
      <c r="P231" s="17">
        <f t="shared" si="27"/>
        <v>0.28919423382842518</v>
      </c>
      <c r="Q231" s="17">
        <f t="shared" si="28"/>
        <v>0</v>
      </c>
      <c r="R231" s="17">
        <f t="shared" si="29"/>
        <v>0</v>
      </c>
    </row>
    <row r="232" spans="1:18" x14ac:dyDescent="0.3">
      <c r="A232" s="17">
        <v>48</v>
      </c>
      <c r="B232" s="17">
        <v>1</v>
      </c>
      <c r="C232" s="17">
        <v>2</v>
      </c>
      <c r="D232" s="17">
        <v>110</v>
      </c>
      <c r="E232" s="17">
        <v>229</v>
      </c>
      <c r="F232" s="17">
        <v>0</v>
      </c>
      <c r="G232" s="17">
        <v>0</v>
      </c>
      <c r="H232" s="17">
        <v>168</v>
      </c>
      <c r="I232" s="17">
        <v>0</v>
      </c>
      <c r="J232" s="17">
        <v>1</v>
      </c>
      <c r="K232" s="17">
        <v>3</v>
      </c>
      <c r="L232" s="17">
        <v>0</v>
      </c>
      <c r="M232" s="17">
        <v>7</v>
      </c>
      <c r="N232" s="17">
        <v>1</v>
      </c>
      <c r="O232" s="17">
        <f t="shared" si="26"/>
        <v>-1.3301307312800832</v>
      </c>
      <c r="P232" s="17">
        <f t="shared" si="27"/>
        <v>0.20913774154869788</v>
      </c>
      <c r="Q232" s="17">
        <f t="shared" si="28"/>
        <v>0</v>
      </c>
      <c r="R232" s="17">
        <f t="shared" si="29"/>
        <v>1</v>
      </c>
    </row>
    <row r="233" spans="1:18" x14ac:dyDescent="0.3">
      <c r="A233" s="17">
        <v>60</v>
      </c>
      <c r="B233" s="17">
        <v>1</v>
      </c>
      <c r="C233" s="17">
        <v>4</v>
      </c>
      <c r="D233" s="17">
        <v>130</v>
      </c>
      <c r="E233" s="17">
        <v>206</v>
      </c>
      <c r="F233" s="17">
        <v>0</v>
      </c>
      <c r="G233" s="17">
        <v>2</v>
      </c>
      <c r="H233" s="17">
        <v>132</v>
      </c>
      <c r="I233" s="17">
        <v>1</v>
      </c>
      <c r="J233" s="17">
        <v>2.4</v>
      </c>
      <c r="K233" s="17">
        <v>2</v>
      </c>
      <c r="L233" s="17">
        <v>2</v>
      </c>
      <c r="M233" s="17">
        <v>7</v>
      </c>
      <c r="N233" s="17">
        <v>1</v>
      </c>
      <c r="O233" s="17">
        <f t="shared" si="26"/>
        <v>5.0033743950034602</v>
      </c>
      <c r="P233" s="17">
        <f t="shared" si="27"/>
        <v>0.99332954494322057</v>
      </c>
      <c r="Q233" s="17">
        <f t="shared" si="28"/>
        <v>1</v>
      </c>
      <c r="R233" s="17">
        <f t="shared" si="29"/>
        <v>0</v>
      </c>
    </row>
    <row r="234" spans="1:18" x14ac:dyDescent="0.3">
      <c r="A234" s="17">
        <v>50</v>
      </c>
      <c r="B234" s="17">
        <v>0</v>
      </c>
      <c r="C234" s="17">
        <v>3</v>
      </c>
      <c r="D234" s="17">
        <v>120</v>
      </c>
      <c r="E234" s="17">
        <v>219</v>
      </c>
      <c r="F234" s="17">
        <v>0</v>
      </c>
      <c r="G234" s="17">
        <v>0</v>
      </c>
      <c r="H234" s="17">
        <v>158</v>
      </c>
      <c r="I234" s="17">
        <v>0</v>
      </c>
      <c r="J234" s="17">
        <v>1.6</v>
      </c>
      <c r="K234" s="17">
        <v>2</v>
      </c>
      <c r="L234" s="17">
        <v>0</v>
      </c>
      <c r="M234" s="17">
        <v>3</v>
      </c>
      <c r="N234" s="17">
        <v>0</v>
      </c>
      <c r="O234" s="17">
        <f t="shared" si="26"/>
        <v>-2.8681350650930932</v>
      </c>
      <c r="P234" s="17">
        <f t="shared" si="27"/>
        <v>5.3751427819224248E-2</v>
      </c>
      <c r="Q234" s="17">
        <f t="shared" si="28"/>
        <v>0</v>
      </c>
      <c r="R234" s="17">
        <f t="shared" si="29"/>
        <v>0</v>
      </c>
    </row>
    <row r="235" spans="1:18" x14ac:dyDescent="0.3">
      <c r="A235" s="17">
        <v>43</v>
      </c>
      <c r="B235" s="17">
        <v>1</v>
      </c>
      <c r="C235" s="17">
        <v>4</v>
      </c>
      <c r="D235" s="17">
        <v>150</v>
      </c>
      <c r="E235" s="17">
        <v>247</v>
      </c>
      <c r="F235" s="17">
        <v>0</v>
      </c>
      <c r="G235" s="17">
        <v>0</v>
      </c>
      <c r="H235" s="17">
        <v>171</v>
      </c>
      <c r="I235" s="17">
        <v>0</v>
      </c>
      <c r="J235" s="17">
        <v>1.5</v>
      </c>
      <c r="K235" s="17">
        <v>1</v>
      </c>
      <c r="L235" s="17">
        <v>0</v>
      </c>
      <c r="M235" s="17">
        <v>3</v>
      </c>
      <c r="N235" s="17">
        <v>0</v>
      </c>
      <c r="O235" s="17">
        <f t="shared" si="26"/>
        <v>-1.2024373699185382</v>
      </c>
      <c r="P235" s="17">
        <f t="shared" si="27"/>
        <v>0.23104190575657321</v>
      </c>
      <c r="Q235" s="17">
        <f t="shared" si="28"/>
        <v>0</v>
      </c>
      <c r="R235" s="17">
        <f t="shared" si="29"/>
        <v>0</v>
      </c>
    </row>
    <row r="236" spans="1:18" x14ac:dyDescent="0.3">
      <c r="A236" s="17">
        <v>69</v>
      </c>
      <c r="B236" s="17">
        <v>0</v>
      </c>
      <c r="C236" s="17">
        <v>1</v>
      </c>
      <c r="D236" s="17">
        <v>140</v>
      </c>
      <c r="E236" s="17">
        <v>239</v>
      </c>
      <c r="F236" s="17">
        <v>0</v>
      </c>
      <c r="G236" s="17">
        <v>0</v>
      </c>
      <c r="H236" s="17">
        <v>151</v>
      </c>
      <c r="I236" s="17">
        <v>0</v>
      </c>
      <c r="J236" s="17">
        <v>1.8</v>
      </c>
      <c r="K236" s="17">
        <v>1</v>
      </c>
      <c r="L236" s="17">
        <v>2</v>
      </c>
      <c r="M236" s="17">
        <v>3</v>
      </c>
      <c r="N236" s="17">
        <v>0</v>
      </c>
      <c r="O236" s="17">
        <f t="shared" si="26"/>
        <v>-1.9341174625493522</v>
      </c>
      <c r="P236" s="17">
        <f t="shared" si="27"/>
        <v>0.12629553928090184</v>
      </c>
      <c r="Q236" s="17">
        <f t="shared" si="28"/>
        <v>0</v>
      </c>
      <c r="R236" s="17">
        <f t="shared" si="29"/>
        <v>0</v>
      </c>
    </row>
    <row r="237" spans="1:18" x14ac:dyDescent="0.3">
      <c r="A237" s="17">
        <v>43</v>
      </c>
      <c r="B237" s="17">
        <v>1</v>
      </c>
      <c r="C237" s="17">
        <v>4</v>
      </c>
      <c r="D237" s="17">
        <v>120</v>
      </c>
      <c r="E237" s="17">
        <v>177</v>
      </c>
      <c r="F237" s="17">
        <v>0</v>
      </c>
      <c r="G237" s="17">
        <v>2</v>
      </c>
      <c r="H237" s="17">
        <v>120</v>
      </c>
      <c r="I237" s="17">
        <v>1</v>
      </c>
      <c r="J237" s="17">
        <v>2.5</v>
      </c>
      <c r="K237" s="17">
        <v>2</v>
      </c>
      <c r="L237" s="17">
        <v>0</v>
      </c>
      <c r="M237" s="17">
        <v>7</v>
      </c>
      <c r="N237" s="17">
        <v>1</v>
      </c>
      <c r="O237" s="17">
        <f t="shared" si="26"/>
        <v>2.277331981059918</v>
      </c>
      <c r="P237" s="17">
        <f t="shared" si="27"/>
        <v>0.90698220244353334</v>
      </c>
      <c r="Q237" s="17">
        <f t="shared" si="28"/>
        <v>1</v>
      </c>
      <c r="R237" s="17">
        <f t="shared" si="29"/>
        <v>0</v>
      </c>
    </row>
    <row r="238" spans="1:18" x14ac:dyDescent="0.3">
      <c r="A238" s="17">
        <v>59</v>
      </c>
      <c r="B238" s="17">
        <v>1</v>
      </c>
      <c r="C238" s="17">
        <v>3</v>
      </c>
      <c r="D238" s="17">
        <v>150</v>
      </c>
      <c r="E238" s="17">
        <v>212</v>
      </c>
      <c r="F238" s="17">
        <v>1</v>
      </c>
      <c r="G238" s="17">
        <v>0</v>
      </c>
      <c r="H238" s="17">
        <v>157</v>
      </c>
      <c r="I238" s="17">
        <v>0</v>
      </c>
      <c r="J238" s="17">
        <v>1.6</v>
      </c>
      <c r="K238" s="17">
        <v>1</v>
      </c>
      <c r="L238" s="17">
        <v>0</v>
      </c>
      <c r="M238" s="17">
        <v>3</v>
      </c>
      <c r="N238" s="17">
        <v>0</v>
      </c>
      <c r="O238" s="17">
        <f t="shared" si="26"/>
        <v>-2.4829681930801479</v>
      </c>
      <c r="P238" s="17">
        <f t="shared" si="27"/>
        <v>7.706083175133667E-2</v>
      </c>
      <c r="Q238" s="17">
        <f t="shared" si="28"/>
        <v>0</v>
      </c>
      <c r="R238" s="17">
        <f t="shared" si="29"/>
        <v>0</v>
      </c>
    </row>
    <row r="239" spans="1:18" x14ac:dyDescent="0.3">
      <c r="A239" s="17">
        <v>58</v>
      </c>
      <c r="B239" s="17">
        <v>1</v>
      </c>
      <c r="C239" s="17">
        <v>3</v>
      </c>
      <c r="D239" s="17">
        <v>112</v>
      </c>
      <c r="E239" s="17">
        <v>230</v>
      </c>
      <c r="F239" s="17">
        <v>0</v>
      </c>
      <c r="G239" s="17">
        <v>2</v>
      </c>
      <c r="H239" s="17">
        <v>165</v>
      </c>
      <c r="I239" s="17">
        <v>0</v>
      </c>
      <c r="J239" s="17">
        <v>2.5</v>
      </c>
      <c r="K239" s="17">
        <v>2</v>
      </c>
      <c r="L239" s="17">
        <v>1</v>
      </c>
      <c r="M239" s="17">
        <v>7</v>
      </c>
      <c r="N239" s="17">
        <v>1</v>
      </c>
      <c r="O239" s="17">
        <f t="shared" si="26"/>
        <v>0.88631666718850255</v>
      </c>
      <c r="P239" s="17">
        <f t="shared" si="27"/>
        <v>0.70812947754638744</v>
      </c>
      <c r="Q239" s="17">
        <f t="shared" si="28"/>
        <v>1</v>
      </c>
      <c r="R239" s="17">
        <f t="shared" si="29"/>
        <v>0</v>
      </c>
    </row>
    <row r="240" spans="1:18" x14ac:dyDescent="0.3">
      <c r="A240" s="17">
        <v>53</v>
      </c>
      <c r="B240" s="17">
        <v>1</v>
      </c>
      <c r="C240" s="17">
        <v>3</v>
      </c>
      <c r="D240" s="17">
        <v>130</v>
      </c>
      <c r="E240" s="17">
        <v>197</v>
      </c>
      <c r="F240" s="17">
        <v>1</v>
      </c>
      <c r="G240" s="17">
        <v>2</v>
      </c>
      <c r="H240" s="17">
        <v>152</v>
      </c>
      <c r="I240" s="17">
        <v>0</v>
      </c>
      <c r="J240" s="17">
        <v>1.2</v>
      </c>
      <c r="K240" s="17">
        <v>3</v>
      </c>
      <c r="L240" s="17">
        <v>0</v>
      </c>
      <c r="M240" s="17">
        <v>3</v>
      </c>
      <c r="N240" s="17">
        <v>0</v>
      </c>
      <c r="O240" s="17">
        <f t="shared" si="26"/>
        <v>-0.863892466112409</v>
      </c>
      <c r="P240" s="17">
        <f t="shared" si="27"/>
        <v>0.2965267399792666</v>
      </c>
      <c r="Q240" s="17">
        <f t="shared" si="28"/>
        <v>0</v>
      </c>
      <c r="R240" s="17">
        <f t="shared" si="29"/>
        <v>0</v>
      </c>
    </row>
    <row r="241" spans="1:18" x14ac:dyDescent="0.3">
      <c r="A241" s="17">
        <v>44</v>
      </c>
      <c r="B241" s="17">
        <v>1</v>
      </c>
      <c r="C241" s="17">
        <v>4</v>
      </c>
      <c r="D241" s="17">
        <v>112</v>
      </c>
      <c r="E241" s="17">
        <v>290</v>
      </c>
      <c r="F241" s="17">
        <v>0</v>
      </c>
      <c r="G241" s="17">
        <v>2</v>
      </c>
      <c r="H241" s="17">
        <v>153</v>
      </c>
      <c r="I241" s="17">
        <v>0</v>
      </c>
      <c r="J241" s="17">
        <v>0</v>
      </c>
      <c r="K241" s="17">
        <v>1</v>
      </c>
      <c r="L241" s="17">
        <v>1</v>
      </c>
      <c r="M241" s="17">
        <v>3</v>
      </c>
      <c r="N241" s="17">
        <v>1</v>
      </c>
      <c r="O241" s="17">
        <f t="shared" si="26"/>
        <v>-0.36192006755060113</v>
      </c>
      <c r="P241" s="17">
        <f t="shared" si="27"/>
        <v>0.41049485132319902</v>
      </c>
      <c r="Q241" s="17">
        <f t="shared" si="28"/>
        <v>0</v>
      </c>
      <c r="R241" s="17">
        <f t="shared" si="29"/>
        <v>1</v>
      </c>
    </row>
    <row r="242" spans="1:18" x14ac:dyDescent="0.3">
      <c r="A242" s="17">
        <v>51</v>
      </c>
      <c r="B242" s="17">
        <v>1</v>
      </c>
      <c r="C242" s="17">
        <v>1</v>
      </c>
      <c r="D242" s="17">
        <v>125</v>
      </c>
      <c r="E242" s="17">
        <v>213</v>
      </c>
      <c r="F242" s="17">
        <v>0</v>
      </c>
      <c r="G242" s="17">
        <v>2</v>
      </c>
      <c r="H242" s="17">
        <v>125</v>
      </c>
      <c r="I242" s="17">
        <v>1</v>
      </c>
      <c r="J242" s="17">
        <v>1.4</v>
      </c>
      <c r="K242" s="17">
        <v>1</v>
      </c>
      <c r="L242" s="17">
        <v>1</v>
      </c>
      <c r="M242" s="17">
        <v>3</v>
      </c>
      <c r="N242" s="17">
        <v>0</v>
      </c>
      <c r="O242" s="17">
        <f t="shared" si="26"/>
        <v>-1.089507240209608</v>
      </c>
      <c r="P242" s="17">
        <f t="shared" si="27"/>
        <v>0.25171107963074357</v>
      </c>
      <c r="Q242" s="17">
        <f t="shared" si="28"/>
        <v>0</v>
      </c>
      <c r="R242" s="17">
        <f t="shared" si="29"/>
        <v>0</v>
      </c>
    </row>
    <row r="243" spans="1:18" x14ac:dyDescent="0.3">
      <c r="A243" s="17">
        <v>46</v>
      </c>
      <c r="B243" s="17">
        <v>0</v>
      </c>
      <c r="C243" s="17">
        <v>3</v>
      </c>
      <c r="D243" s="17">
        <v>142</v>
      </c>
      <c r="E243" s="17">
        <v>177</v>
      </c>
      <c r="F243" s="17">
        <v>0</v>
      </c>
      <c r="G243" s="17">
        <v>2</v>
      </c>
      <c r="H243" s="17">
        <v>160</v>
      </c>
      <c r="I243" s="17">
        <v>1</v>
      </c>
      <c r="J243" s="17">
        <v>1.4</v>
      </c>
      <c r="K243" s="17">
        <v>3</v>
      </c>
      <c r="L243" s="17">
        <v>0</v>
      </c>
      <c r="M243" s="17">
        <v>3</v>
      </c>
      <c r="N243" s="17">
        <v>0</v>
      </c>
      <c r="O243" s="17">
        <f t="shared" si="26"/>
        <v>-0.2666629836366603</v>
      </c>
      <c r="P243" s="17">
        <f t="shared" si="27"/>
        <v>0.43372651038532772</v>
      </c>
      <c r="Q243" s="17">
        <f t="shared" si="28"/>
        <v>0</v>
      </c>
      <c r="R243" s="17">
        <f t="shared" si="29"/>
        <v>0</v>
      </c>
    </row>
    <row r="244" spans="1:18" x14ac:dyDescent="0.3">
      <c r="A244" s="17">
        <v>54</v>
      </c>
      <c r="B244" s="17">
        <v>0</v>
      </c>
      <c r="C244" s="17">
        <v>3</v>
      </c>
      <c r="D244" s="17">
        <v>135</v>
      </c>
      <c r="E244" s="17">
        <v>304</v>
      </c>
      <c r="F244" s="17">
        <v>1</v>
      </c>
      <c r="G244" s="17">
        <v>0</v>
      </c>
      <c r="H244" s="17">
        <v>170</v>
      </c>
      <c r="I244" s="17">
        <v>0</v>
      </c>
      <c r="J244" s="17">
        <v>0</v>
      </c>
      <c r="K244" s="17">
        <v>1</v>
      </c>
      <c r="L244" s="17">
        <v>0</v>
      </c>
      <c r="M244" s="17">
        <v>3</v>
      </c>
      <c r="N244" s="17">
        <v>0</v>
      </c>
      <c r="O244" s="17">
        <f t="shared" si="26"/>
        <v>-4.2128532796832845</v>
      </c>
      <c r="P244" s="17">
        <f t="shared" si="27"/>
        <v>1.4588104582779567E-2</v>
      </c>
      <c r="Q244" s="17">
        <f t="shared" si="28"/>
        <v>0</v>
      </c>
      <c r="R244" s="17">
        <f t="shared" si="29"/>
        <v>0</v>
      </c>
    </row>
    <row r="245" spans="1:18" x14ac:dyDescent="0.3">
      <c r="A245" s="17">
        <v>62</v>
      </c>
      <c r="B245" s="17">
        <v>1</v>
      </c>
      <c r="C245" s="17">
        <v>4</v>
      </c>
      <c r="D245" s="17">
        <v>120</v>
      </c>
      <c r="E245" s="17">
        <v>267</v>
      </c>
      <c r="F245" s="17">
        <v>0</v>
      </c>
      <c r="G245" s="17">
        <v>0</v>
      </c>
      <c r="H245" s="17">
        <v>99</v>
      </c>
      <c r="I245" s="17">
        <v>1</v>
      </c>
      <c r="J245" s="17">
        <v>1.8</v>
      </c>
      <c r="K245" s="17">
        <v>2</v>
      </c>
      <c r="L245" s="17">
        <v>2</v>
      </c>
      <c r="M245" s="17">
        <v>7</v>
      </c>
      <c r="N245" s="17">
        <v>1</v>
      </c>
      <c r="O245" s="17">
        <f t="shared" si="26"/>
        <v>4.9012263181931672</v>
      </c>
      <c r="P245" s="17">
        <f t="shared" si="27"/>
        <v>0.99261745060447681</v>
      </c>
      <c r="Q245" s="17">
        <f t="shared" si="28"/>
        <v>1</v>
      </c>
      <c r="R245" s="17">
        <f t="shared" si="29"/>
        <v>0</v>
      </c>
    </row>
    <row r="246" spans="1:18" x14ac:dyDescent="0.3">
      <c r="A246" s="17">
        <v>44</v>
      </c>
      <c r="B246" s="17">
        <v>1</v>
      </c>
      <c r="C246" s="17">
        <v>4</v>
      </c>
      <c r="D246" s="17">
        <v>110</v>
      </c>
      <c r="E246" s="17">
        <v>197</v>
      </c>
      <c r="F246" s="17">
        <v>0</v>
      </c>
      <c r="G246" s="17">
        <v>2</v>
      </c>
      <c r="H246" s="17">
        <v>177</v>
      </c>
      <c r="I246" s="17">
        <v>0</v>
      </c>
      <c r="J246" s="17">
        <v>0</v>
      </c>
      <c r="K246" s="17">
        <v>1</v>
      </c>
      <c r="L246" s="17">
        <v>1</v>
      </c>
      <c r="M246" s="17">
        <v>3</v>
      </c>
      <c r="N246" s="17">
        <v>1</v>
      </c>
      <c r="O246" s="17">
        <f t="shared" si="26"/>
        <v>-1.1573485362445748</v>
      </c>
      <c r="P246" s="17">
        <f t="shared" si="27"/>
        <v>0.23914940372564575</v>
      </c>
      <c r="Q246" s="17">
        <f t="shared" si="28"/>
        <v>0</v>
      </c>
      <c r="R246" s="17">
        <f t="shared" si="29"/>
        <v>1</v>
      </c>
    </row>
    <row r="247" spans="1:18" x14ac:dyDescent="0.3">
      <c r="A247" s="17">
        <v>65</v>
      </c>
      <c r="B247" s="17">
        <v>0</v>
      </c>
      <c r="C247" s="17">
        <v>3</v>
      </c>
      <c r="D247" s="17">
        <v>160</v>
      </c>
      <c r="E247" s="17">
        <v>360</v>
      </c>
      <c r="F247" s="17">
        <v>0</v>
      </c>
      <c r="G247" s="17">
        <v>2</v>
      </c>
      <c r="H247" s="17">
        <v>151</v>
      </c>
      <c r="I247" s="17">
        <v>0</v>
      </c>
      <c r="J247" s="17">
        <v>0.8</v>
      </c>
      <c r="K247" s="17">
        <v>1</v>
      </c>
      <c r="L247" s="17">
        <v>0</v>
      </c>
      <c r="M247" s="17">
        <v>3</v>
      </c>
      <c r="N247" s="17">
        <v>0</v>
      </c>
      <c r="O247" s="17">
        <f t="shared" si="26"/>
        <v>-1.8656900368214622</v>
      </c>
      <c r="P247" s="17">
        <f t="shared" si="27"/>
        <v>0.13404120930578084</v>
      </c>
      <c r="Q247" s="17">
        <f t="shared" si="28"/>
        <v>0</v>
      </c>
      <c r="R247" s="17">
        <f t="shared" si="29"/>
        <v>0</v>
      </c>
    </row>
    <row r="248" spans="1:18" x14ac:dyDescent="0.3">
      <c r="A248" s="17">
        <v>68</v>
      </c>
      <c r="B248" s="17">
        <v>1</v>
      </c>
      <c r="C248" s="17">
        <v>3</v>
      </c>
      <c r="D248" s="17">
        <v>180</v>
      </c>
      <c r="E248" s="17">
        <v>274</v>
      </c>
      <c r="F248" s="17">
        <v>1</v>
      </c>
      <c r="G248" s="17">
        <v>2</v>
      </c>
      <c r="H248" s="17">
        <v>150</v>
      </c>
      <c r="I248" s="17">
        <v>1</v>
      </c>
      <c r="J248" s="17">
        <v>1.6</v>
      </c>
      <c r="K248" s="17">
        <v>2</v>
      </c>
      <c r="L248" s="17">
        <v>0</v>
      </c>
      <c r="M248" s="17">
        <v>7</v>
      </c>
      <c r="N248" s="17">
        <v>1</v>
      </c>
      <c r="O248" s="17">
        <f t="shared" si="26"/>
        <v>1.9236023766297201</v>
      </c>
      <c r="P248" s="17">
        <f t="shared" si="27"/>
        <v>0.87253960721605561</v>
      </c>
      <c r="Q248" s="17">
        <f t="shared" si="28"/>
        <v>1</v>
      </c>
      <c r="R248" s="17">
        <f t="shared" si="29"/>
        <v>0</v>
      </c>
    </row>
    <row r="249" spans="1:18" x14ac:dyDescent="0.3">
      <c r="A249" s="17">
        <v>53</v>
      </c>
      <c r="B249" s="17">
        <v>0</v>
      </c>
      <c r="C249" s="17">
        <v>4</v>
      </c>
      <c r="D249" s="17">
        <v>138</v>
      </c>
      <c r="E249" s="17">
        <v>234</v>
      </c>
      <c r="F249" s="17">
        <v>0</v>
      </c>
      <c r="G249" s="17">
        <v>2</v>
      </c>
      <c r="H249" s="17">
        <v>160</v>
      </c>
      <c r="I249" s="17">
        <v>0</v>
      </c>
      <c r="J249" s="17">
        <v>0</v>
      </c>
      <c r="K249" s="17">
        <v>1</v>
      </c>
      <c r="L249" s="17">
        <v>0</v>
      </c>
      <c r="M249" s="17">
        <v>3</v>
      </c>
      <c r="N249" s="17">
        <v>0</v>
      </c>
      <c r="O249" s="17">
        <f t="shared" si="26"/>
        <v>-2.2595207784620142</v>
      </c>
      <c r="P249" s="17">
        <f t="shared" si="27"/>
        <v>9.4531380043077956E-2</v>
      </c>
      <c r="Q249" s="17">
        <f t="shared" si="28"/>
        <v>0</v>
      </c>
      <c r="R249" s="17">
        <f t="shared" si="29"/>
        <v>0</v>
      </c>
    </row>
    <row r="250" spans="1:18" x14ac:dyDescent="0.3">
      <c r="A250" s="17">
        <v>63</v>
      </c>
      <c r="B250" s="17">
        <v>0</v>
      </c>
      <c r="C250" s="17">
        <v>3</v>
      </c>
      <c r="D250" s="17">
        <v>135</v>
      </c>
      <c r="E250" s="17">
        <v>252</v>
      </c>
      <c r="F250" s="17">
        <v>0</v>
      </c>
      <c r="G250" s="17">
        <v>2</v>
      </c>
      <c r="H250" s="17">
        <v>172</v>
      </c>
      <c r="I250" s="17">
        <v>0</v>
      </c>
      <c r="J250" s="17">
        <v>0</v>
      </c>
      <c r="K250" s="17">
        <v>1</v>
      </c>
      <c r="L250" s="17">
        <v>0</v>
      </c>
      <c r="M250" s="17">
        <v>3</v>
      </c>
      <c r="N250" s="17">
        <v>0</v>
      </c>
      <c r="O250" s="17">
        <f t="shared" si="26"/>
        <v>-3.505768263439907</v>
      </c>
      <c r="P250" s="17">
        <f t="shared" si="27"/>
        <v>2.9148551066497164E-2</v>
      </c>
      <c r="Q250" s="17">
        <f t="shared" si="28"/>
        <v>0</v>
      </c>
      <c r="R250" s="17">
        <f t="shared" si="29"/>
        <v>0</v>
      </c>
    </row>
    <row r="251" spans="1:18" x14ac:dyDescent="0.3">
      <c r="A251" s="17">
        <v>48</v>
      </c>
      <c r="B251" s="17">
        <v>1</v>
      </c>
      <c r="C251" s="17">
        <v>4</v>
      </c>
      <c r="D251" s="17">
        <v>122</v>
      </c>
      <c r="E251" s="17">
        <v>222</v>
      </c>
      <c r="F251" s="17">
        <v>0</v>
      </c>
      <c r="G251" s="17">
        <v>2</v>
      </c>
      <c r="H251" s="17">
        <v>186</v>
      </c>
      <c r="I251" s="17">
        <v>0</v>
      </c>
      <c r="J251" s="17">
        <v>0</v>
      </c>
      <c r="K251" s="17">
        <v>1</v>
      </c>
      <c r="L251" s="17">
        <v>0</v>
      </c>
      <c r="M251" s="17">
        <v>3</v>
      </c>
      <c r="N251" s="17">
        <v>0</v>
      </c>
      <c r="O251" s="17">
        <f t="shared" si="26"/>
        <v>-2.364008857071739</v>
      </c>
      <c r="P251" s="17">
        <f t="shared" si="27"/>
        <v>8.5958696150896588E-2</v>
      </c>
      <c r="Q251" s="17">
        <f t="shared" si="28"/>
        <v>0</v>
      </c>
      <c r="R251" s="17">
        <f t="shared" si="29"/>
        <v>0</v>
      </c>
    </row>
    <row r="252" spans="1:18" x14ac:dyDescent="0.3">
      <c r="A252" s="17">
        <v>45</v>
      </c>
      <c r="B252" s="17">
        <v>1</v>
      </c>
      <c r="C252" s="17">
        <v>4</v>
      </c>
      <c r="D252" s="17">
        <v>115</v>
      </c>
      <c r="E252" s="17">
        <v>260</v>
      </c>
      <c r="F252" s="17">
        <v>0</v>
      </c>
      <c r="G252" s="17">
        <v>2</v>
      </c>
      <c r="H252" s="17">
        <v>185</v>
      </c>
      <c r="I252" s="17">
        <v>0</v>
      </c>
      <c r="J252" s="17">
        <v>0</v>
      </c>
      <c r="K252" s="17">
        <v>1</v>
      </c>
      <c r="L252" s="17">
        <v>0</v>
      </c>
      <c r="M252" s="17">
        <v>3</v>
      </c>
      <c r="N252" s="17">
        <v>0</v>
      </c>
      <c r="O252" s="17">
        <f t="shared" si="26"/>
        <v>-2.4324765405470865</v>
      </c>
      <c r="P252" s="17">
        <f t="shared" si="27"/>
        <v>8.0729486661910321E-2</v>
      </c>
      <c r="Q252" s="17">
        <f t="shared" si="28"/>
        <v>0</v>
      </c>
      <c r="R252" s="17">
        <f t="shared" si="29"/>
        <v>0</v>
      </c>
    </row>
    <row r="253" spans="1:18" x14ac:dyDescent="0.3">
      <c r="A253" s="17">
        <v>57</v>
      </c>
      <c r="B253" s="17">
        <v>0</v>
      </c>
      <c r="C253" s="17">
        <v>4</v>
      </c>
      <c r="D253" s="17">
        <v>128</v>
      </c>
      <c r="E253" s="17">
        <v>303</v>
      </c>
      <c r="F253" s="17">
        <v>0</v>
      </c>
      <c r="G253" s="17">
        <v>2</v>
      </c>
      <c r="H253" s="17">
        <v>159</v>
      </c>
      <c r="I253" s="17">
        <v>0</v>
      </c>
      <c r="J253" s="17">
        <v>0</v>
      </c>
      <c r="K253" s="17">
        <v>1</v>
      </c>
      <c r="L253" s="17">
        <v>1</v>
      </c>
      <c r="M253" s="17">
        <v>3</v>
      </c>
      <c r="N253" s="17">
        <v>0</v>
      </c>
      <c r="O253" s="17">
        <f t="shared" si="26"/>
        <v>-1.0174593906287903</v>
      </c>
      <c r="P253" s="17">
        <f t="shared" si="27"/>
        <v>0.26552257578064925</v>
      </c>
      <c r="Q253" s="17">
        <f t="shared" si="28"/>
        <v>0</v>
      </c>
      <c r="R253" s="17">
        <f t="shared" si="29"/>
        <v>0</v>
      </c>
    </row>
    <row r="254" spans="1:18" x14ac:dyDescent="0.3">
      <c r="A254" s="17">
        <v>43</v>
      </c>
      <c r="B254" s="17">
        <v>0</v>
      </c>
      <c r="C254" s="17">
        <v>4</v>
      </c>
      <c r="D254" s="17">
        <v>132</v>
      </c>
      <c r="E254" s="17">
        <v>341</v>
      </c>
      <c r="F254" s="17">
        <v>1</v>
      </c>
      <c r="G254" s="17">
        <v>2</v>
      </c>
      <c r="H254" s="17">
        <v>136</v>
      </c>
      <c r="I254" s="17">
        <v>1</v>
      </c>
      <c r="J254" s="17">
        <v>3</v>
      </c>
      <c r="K254" s="17">
        <v>2</v>
      </c>
      <c r="L254" s="17">
        <v>0</v>
      </c>
      <c r="M254" s="17">
        <v>7</v>
      </c>
      <c r="N254" s="17">
        <v>1</v>
      </c>
      <c r="O254" s="17">
        <f t="shared" si="26"/>
        <v>1.4187600770803694</v>
      </c>
      <c r="P254" s="17">
        <f t="shared" si="27"/>
        <v>0.80514396201761418</v>
      </c>
      <c r="Q254" s="17">
        <f t="shared" si="28"/>
        <v>1</v>
      </c>
      <c r="R254" s="17">
        <f t="shared" si="29"/>
        <v>0</v>
      </c>
    </row>
    <row r="255" spans="1:18" x14ac:dyDescent="0.3">
      <c r="A255" s="17">
        <v>35</v>
      </c>
      <c r="B255" s="17">
        <v>0</v>
      </c>
      <c r="C255" s="17">
        <v>4</v>
      </c>
      <c r="D255" s="17">
        <v>138</v>
      </c>
      <c r="E255" s="17">
        <v>183</v>
      </c>
      <c r="F255" s="17">
        <v>0</v>
      </c>
      <c r="G255" s="17">
        <v>0</v>
      </c>
      <c r="H255" s="17">
        <v>182</v>
      </c>
      <c r="I255" s="17">
        <v>0</v>
      </c>
      <c r="J255" s="17">
        <v>1.4</v>
      </c>
      <c r="K255" s="17">
        <v>1</v>
      </c>
      <c r="L255" s="17">
        <v>0</v>
      </c>
      <c r="M255" s="17">
        <v>3</v>
      </c>
      <c r="N255" s="17">
        <v>0</v>
      </c>
      <c r="O255" s="17">
        <f t="shared" si="26"/>
        <v>-2.8065977831803961</v>
      </c>
      <c r="P255" s="17">
        <f t="shared" si="27"/>
        <v>5.6968683702428483E-2</v>
      </c>
      <c r="Q255" s="17">
        <f t="shared" si="28"/>
        <v>0</v>
      </c>
      <c r="R255" s="17">
        <f t="shared" si="29"/>
        <v>0</v>
      </c>
    </row>
    <row r="256" spans="1:18" x14ac:dyDescent="0.3">
      <c r="A256" s="17">
        <v>63</v>
      </c>
      <c r="B256" s="17">
        <v>0</v>
      </c>
      <c r="C256" s="17">
        <v>4</v>
      </c>
      <c r="D256" s="17">
        <v>150</v>
      </c>
      <c r="E256" s="17">
        <v>407</v>
      </c>
      <c r="F256" s="17">
        <v>0</v>
      </c>
      <c r="G256" s="17">
        <v>2</v>
      </c>
      <c r="H256" s="17">
        <v>154</v>
      </c>
      <c r="I256" s="17">
        <v>0</v>
      </c>
      <c r="J256" s="17">
        <v>4</v>
      </c>
      <c r="K256" s="17">
        <v>2</v>
      </c>
      <c r="L256" s="17">
        <v>3</v>
      </c>
      <c r="M256" s="17">
        <v>7</v>
      </c>
      <c r="N256" s="17">
        <v>1</v>
      </c>
      <c r="O256" s="17">
        <f t="shared" si="26"/>
        <v>5.7466944236498083</v>
      </c>
      <c r="P256" s="17">
        <f t="shared" si="27"/>
        <v>0.99681684569804985</v>
      </c>
      <c r="Q256" s="17">
        <f t="shared" si="28"/>
        <v>1</v>
      </c>
      <c r="R256" s="17">
        <f t="shared" si="29"/>
        <v>0</v>
      </c>
    </row>
    <row r="257" spans="1:18" x14ac:dyDescent="0.3">
      <c r="A257" s="17">
        <v>62</v>
      </c>
      <c r="B257" s="17">
        <v>0</v>
      </c>
      <c r="C257" s="17">
        <v>4</v>
      </c>
      <c r="D257" s="17">
        <v>124</v>
      </c>
      <c r="E257" s="17">
        <v>209</v>
      </c>
      <c r="F257" s="17">
        <v>0</v>
      </c>
      <c r="G257" s="17">
        <v>0</v>
      </c>
      <c r="H257" s="17">
        <v>163</v>
      </c>
      <c r="I257" s="17">
        <v>0</v>
      </c>
      <c r="J257" s="17">
        <v>0</v>
      </c>
      <c r="K257" s="17">
        <v>1</v>
      </c>
      <c r="L257" s="17">
        <v>0</v>
      </c>
      <c r="M257" s="17">
        <v>3</v>
      </c>
      <c r="N257" s="17">
        <v>0</v>
      </c>
      <c r="O257" s="17">
        <f t="shared" si="26"/>
        <v>-3.3959306305928862</v>
      </c>
      <c r="P257" s="17">
        <f t="shared" si="27"/>
        <v>3.2422884872441347E-2</v>
      </c>
      <c r="Q257" s="17">
        <f t="shared" si="28"/>
        <v>0</v>
      </c>
      <c r="R257" s="17">
        <f t="shared" si="29"/>
        <v>0</v>
      </c>
    </row>
    <row r="258" spans="1:18" x14ac:dyDescent="0.3">
      <c r="A258" s="17">
        <v>43</v>
      </c>
      <c r="B258" s="17">
        <v>0</v>
      </c>
      <c r="C258" s="17">
        <v>3</v>
      </c>
      <c r="D258" s="17">
        <v>122</v>
      </c>
      <c r="E258" s="17">
        <v>213</v>
      </c>
      <c r="F258" s="17">
        <v>0</v>
      </c>
      <c r="G258" s="17">
        <v>0</v>
      </c>
      <c r="H258" s="17">
        <v>165</v>
      </c>
      <c r="I258" s="17">
        <v>0</v>
      </c>
      <c r="J258" s="17">
        <v>0.2</v>
      </c>
      <c r="K258" s="17">
        <v>2</v>
      </c>
      <c r="L258" s="17">
        <v>0</v>
      </c>
      <c r="M258" s="17">
        <v>3</v>
      </c>
      <c r="N258" s="17">
        <v>0</v>
      </c>
      <c r="O258" s="17">
        <f t="shared" si="26"/>
        <v>-3.2083988994914163</v>
      </c>
      <c r="P258" s="17">
        <f t="shared" si="27"/>
        <v>3.8850877810196971E-2</v>
      </c>
      <c r="Q258" s="17">
        <f t="shared" si="28"/>
        <v>0</v>
      </c>
      <c r="R258" s="17">
        <f t="shared" si="29"/>
        <v>0</v>
      </c>
    </row>
    <row r="259" spans="1:18" x14ac:dyDescent="0.3">
      <c r="A259" s="17">
        <v>47</v>
      </c>
      <c r="B259" s="17">
        <v>1</v>
      </c>
      <c r="C259" s="17">
        <v>3</v>
      </c>
      <c r="D259" s="17">
        <v>108</v>
      </c>
      <c r="E259" s="17">
        <v>243</v>
      </c>
      <c r="F259" s="17">
        <v>0</v>
      </c>
      <c r="G259" s="17">
        <v>0</v>
      </c>
      <c r="H259" s="17">
        <v>152</v>
      </c>
      <c r="I259" s="17">
        <v>0</v>
      </c>
      <c r="J259" s="17">
        <v>0</v>
      </c>
      <c r="K259" s="17">
        <v>1</v>
      </c>
      <c r="L259" s="17">
        <v>0</v>
      </c>
      <c r="M259" s="17">
        <v>3</v>
      </c>
      <c r="N259" s="17">
        <v>1</v>
      </c>
      <c r="O259" s="17">
        <f t="shared" si="26"/>
        <v>-3.3308748798067898</v>
      </c>
      <c r="P259" s="17">
        <f t="shared" si="27"/>
        <v>3.4527054343613167E-2</v>
      </c>
      <c r="Q259" s="17">
        <f t="shared" si="28"/>
        <v>0</v>
      </c>
      <c r="R259" s="17">
        <f t="shared" si="29"/>
        <v>1</v>
      </c>
    </row>
    <row r="260" spans="1:18" x14ac:dyDescent="0.3">
      <c r="A260" s="17">
        <v>55</v>
      </c>
      <c r="B260" s="17">
        <v>1</v>
      </c>
      <c r="C260" s="17">
        <v>4</v>
      </c>
      <c r="D260" s="17">
        <v>160</v>
      </c>
      <c r="E260" s="17">
        <v>289</v>
      </c>
      <c r="F260" s="17">
        <v>0</v>
      </c>
      <c r="G260" s="17">
        <v>2</v>
      </c>
      <c r="H260" s="17">
        <v>145</v>
      </c>
      <c r="I260" s="17">
        <v>1</v>
      </c>
      <c r="J260" s="17">
        <v>0.8</v>
      </c>
      <c r="K260" s="17">
        <v>2</v>
      </c>
      <c r="L260" s="17">
        <v>1</v>
      </c>
      <c r="M260" s="17">
        <v>7</v>
      </c>
      <c r="N260" s="17">
        <v>1</v>
      </c>
      <c r="O260" s="17">
        <f t="shared" si="26"/>
        <v>4.1486607760282279</v>
      </c>
      <c r="P260" s="17">
        <f t="shared" si="27"/>
        <v>0.98445976827906367</v>
      </c>
      <c r="Q260" s="17">
        <f t="shared" si="28"/>
        <v>1</v>
      </c>
      <c r="R260" s="17">
        <f t="shared" si="29"/>
        <v>0</v>
      </c>
    </row>
    <row r="261" spans="1:18" x14ac:dyDescent="0.3">
      <c r="A261" s="17">
        <v>70</v>
      </c>
      <c r="B261" s="17">
        <v>1</v>
      </c>
      <c r="C261" s="17">
        <v>4</v>
      </c>
      <c r="D261" s="17">
        <v>130</v>
      </c>
      <c r="E261" s="17">
        <v>322</v>
      </c>
      <c r="F261" s="17">
        <v>0</v>
      </c>
      <c r="G261" s="17">
        <v>2</v>
      </c>
      <c r="H261" s="17">
        <v>109</v>
      </c>
      <c r="I261" s="17">
        <v>0</v>
      </c>
      <c r="J261" s="17">
        <v>2.4</v>
      </c>
      <c r="K261" s="17">
        <v>2</v>
      </c>
      <c r="L261" s="17">
        <v>3</v>
      </c>
      <c r="M261" s="17">
        <v>3</v>
      </c>
      <c r="N261" s="17">
        <v>1</v>
      </c>
      <c r="O261" s="17">
        <f t="shared" si="26"/>
        <v>5.1222057868299657</v>
      </c>
      <c r="P261" s="17">
        <f t="shared" si="27"/>
        <v>0.99407248930042758</v>
      </c>
      <c r="Q261" s="17">
        <f t="shared" si="28"/>
        <v>1</v>
      </c>
      <c r="R261" s="17">
        <f t="shared" si="29"/>
        <v>0</v>
      </c>
    </row>
    <row r="262" spans="1:18" x14ac:dyDescent="0.3">
      <c r="A262" s="17">
        <v>58</v>
      </c>
      <c r="B262" s="17">
        <v>1</v>
      </c>
      <c r="C262" s="17">
        <v>4</v>
      </c>
      <c r="D262" s="17">
        <v>125</v>
      </c>
      <c r="E262" s="17">
        <v>300</v>
      </c>
      <c r="F262" s="17">
        <v>0</v>
      </c>
      <c r="G262" s="17">
        <v>2</v>
      </c>
      <c r="H262" s="17">
        <v>171</v>
      </c>
      <c r="I262" s="17">
        <v>0</v>
      </c>
      <c r="J262" s="17">
        <v>0</v>
      </c>
      <c r="K262" s="17">
        <v>1</v>
      </c>
      <c r="L262" s="17">
        <v>2</v>
      </c>
      <c r="M262" s="17">
        <v>7</v>
      </c>
      <c r="N262" s="17">
        <v>1</v>
      </c>
      <c r="O262" s="17">
        <f t="shared" si="26"/>
        <v>2.1472897230988153</v>
      </c>
      <c r="P262" s="17">
        <f t="shared" si="27"/>
        <v>0.89541524002151873</v>
      </c>
      <c r="Q262" s="17">
        <f t="shared" si="28"/>
        <v>1</v>
      </c>
      <c r="R262" s="17">
        <f t="shared" si="29"/>
        <v>0</v>
      </c>
    </row>
    <row r="263" spans="1:18" x14ac:dyDescent="0.3">
      <c r="A263" s="17">
        <v>57</v>
      </c>
      <c r="B263" s="17">
        <v>1</v>
      </c>
      <c r="C263" s="17">
        <v>4</v>
      </c>
      <c r="D263" s="17">
        <v>152</v>
      </c>
      <c r="E263" s="17">
        <v>274</v>
      </c>
      <c r="F263" s="17">
        <v>0</v>
      </c>
      <c r="G263" s="17">
        <v>0</v>
      </c>
      <c r="H263" s="17">
        <v>88</v>
      </c>
      <c r="I263" s="17">
        <v>1</v>
      </c>
      <c r="J263" s="17">
        <v>1.2</v>
      </c>
      <c r="K263" s="17">
        <v>2</v>
      </c>
      <c r="L263" s="17">
        <v>1</v>
      </c>
      <c r="M263" s="17">
        <v>7</v>
      </c>
      <c r="N263" s="17">
        <v>1</v>
      </c>
      <c r="O263" s="17">
        <f t="shared" si="26"/>
        <v>4.6536394011350897</v>
      </c>
      <c r="P263" s="17">
        <f t="shared" si="27"/>
        <v>0.99056303800695988</v>
      </c>
      <c r="Q263" s="17">
        <f t="shared" si="28"/>
        <v>1</v>
      </c>
      <c r="R263" s="17">
        <f t="shared" si="29"/>
        <v>0</v>
      </c>
    </row>
    <row r="264" spans="1:18" x14ac:dyDescent="0.3">
      <c r="A264" s="17">
        <v>52</v>
      </c>
      <c r="B264" s="17">
        <v>1</v>
      </c>
      <c r="C264" s="17">
        <v>4</v>
      </c>
      <c r="D264" s="17">
        <v>108</v>
      </c>
      <c r="E264" s="17">
        <v>233</v>
      </c>
      <c r="F264" s="17">
        <v>1</v>
      </c>
      <c r="G264" s="17">
        <v>0</v>
      </c>
      <c r="H264" s="17">
        <v>147</v>
      </c>
      <c r="I264" s="17">
        <v>0</v>
      </c>
      <c r="J264" s="17">
        <v>0.1</v>
      </c>
      <c r="K264" s="17">
        <v>1</v>
      </c>
      <c r="L264" s="17">
        <v>3</v>
      </c>
      <c r="M264" s="17">
        <v>7</v>
      </c>
      <c r="N264" s="17">
        <v>0</v>
      </c>
      <c r="O264" s="17">
        <f t="shared" si="26"/>
        <v>2.4790118452531189</v>
      </c>
      <c r="P264" s="17">
        <f t="shared" si="27"/>
        <v>0.92265731179755617</v>
      </c>
      <c r="Q264" s="17">
        <f t="shared" si="28"/>
        <v>1</v>
      </c>
      <c r="R264" s="17">
        <f t="shared" si="29"/>
        <v>1</v>
      </c>
    </row>
    <row r="265" spans="1:18" x14ac:dyDescent="0.3">
      <c r="A265" s="17">
        <v>60</v>
      </c>
      <c r="B265" s="17">
        <v>0</v>
      </c>
      <c r="C265" s="17">
        <v>4</v>
      </c>
      <c r="D265" s="17">
        <v>158</v>
      </c>
      <c r="E265" s="17">
        <v>305</v>
      </c>
      <c r="F265" s="17">
        <v>0</v>
      </c>
      <c r="G265" s="17">
        <v>2</v>
      </c>
      <c r="H265" s="17">
        <v>161</v>
      </c>
      <c r="I265" s="17">
        <v>0</v>
      </c>
      <c r="J265" s="17">
        <v>0</v>
      </c>
      <c r="K265" s="17">
        <v>1</v>
      </c>
      <c r="L265" s="17">
        <v>0</v>
      </c>
      <c r="M265" s="17">
        <v>3</v>
      </c>
      <c r="N265" s="17">
        <v>1</v>
      </c>
      <c r="O265" s="17">
        <f t="shared" si="26"/>
        <v>-1.5656018720734748</v>
      </c>
      <c r="P265" s="17">
        <f t="shared" si="27"/>
        <v>0.17284428382066716</v>
      </c>
      <c r="Q265" s="17">
        <f t="shared" si="28"/>
        <v>0</v>
      </c>
      <c r="R265" s="17">
        <f t="shared" si="29"/>
        <v>1</v>
      </c>
    </row>
    <row r="266" spans="1:18" x14ac:dyDescent="0.3">
      <c r="A266" s="17">
        <v>63</v>
      </c>
      <c r="B266" s="17">
        <v>0</v>
      </c>
      <c r="C266" s="17">
        <v>2</v>
      </c>
      <c r="D266" s="17">
        <v>140</v>
      </c>
      <c r="E266" s="17">
        <v>195</v>
      </c>
      <c r="F266" s="17">
        <v>0</v>
      </c>
      <c r="G266" s="17">
        <v>0</v>
      </c>
      <c r="H266" s="17">
        <v>179</v>
      </c>
      <c r="I266" s="17">
        <v>0</v>
      </c>
      <c r="J266" s="17">
        <v>0</v>
      </c>
      <c r="K266" s="17">
        <v>1</v>
      </c>
      <c r="L266" s="17">
        <v>2</v>
      </c>
      <c r="M266" s="17">
        <v>3</v>
      </c>
      <c r="N266" s="17">
        <v>0</v>
      </c>
      <c r="O266" s="17">
        <f t="shared" si="26"/>
        <v>-2.1399452937253836</v>
      </c>
      <c r="P266" s="17">
        <f t="shared" si="27"/>
        <v>0.10527454229443048</v>
      </c>
      <c r="Q266" s="17">
        <f t="shared" si="28"/>
        <v>0</v>
      </c>
      <c r="R266" s="17">
        <f t="shared" si="29"/>
        <v>0</v>
      </c>
    </row>
    <row r="267" spans="1:18" x14ac:dyDescent="0.3">
      <c r="A267" s="17">
        <v>42</v>
      </c>
      <c r="B267" s="17">
        <v>1</v>
      </c>
      <c r="C267" s="17">
        <v>3</v>
      </c>
      <c r="D267" s="17">
        <v>120</v>
      </c>
      <c r="E267" s="17">
        <v>240</v>
      </c>
      <c r="F267" s="17">
        <v>1</v>
      </c>
      <c r="G267" s="17">
        <v>0</v>
      </c>
      <c r="H267" s="17">
        <v>194</v>
      </c>
      <c r="I267" s="17">
        <v>0</v>
      </c>
      <c r="J267" s="17">
        <v>0.8</v>
      </c>
      <c r="K267" s="17">
        <v>3</v>
      </c>
      <c r="L267" s="17">
        <v>0</v>
      </c>
      <c r="M267" s="17">
        <v>7</v>
      </c>
      <c r="N267" s="17">
        <v>0</v>
      </c>
      <c r="O267" s="17">
        <f t="shared" si="26"/>
        <v>-1.1848584400457316</v>
      </c>
      <c r="P267" s="17">
        <f t="shared" si="27"/>
        <v>0.23417976053050019</v>
      </c>
      <c r="Q267" s="17">
        <f t="shared" si="28"/>
        <v>0</v>
      </c>
      <c r="R267" s="17">
        <f t="shared" si="29"/>
        <v>0</v>
      </c>
    </row>
    <row r="268" spans="1:18" x14ac:dyDescent="0.3">
      <c r="A268" s="17">
        <v>66</v>
      </c>
      <c r="B268" s="17">
        <v>1</v>
      </c>
      <c r="C268" s="17">
        <v>2</v>
      </c>
      <c r="D268" s="17">
        <v>160</v>
      </c>
      <c r="E268" s="17">
        <v>246</v>
      </c>
      <c r="F268" s="17">
        <v>0</v>
      </c>
      <c r="G268" s="17">
        <v>0</v>
      </c>
      <c r="H268" s="17">
        <v>120</v>
      </c>
      <c r="I268" s="17">
        <v>1</v>
      </c>
      <c r="J268" s="17">
        <v>0</v>
      </c>
      <c r="K268" s="17">
        <v>2</v>
      </c>
      <c r="L268" s="17">
        <v>3</v>
      </c>
      <c r="M268" s="17">
        <v>6</v>
      </c>
      <c r="N268" s="17">
        <v>1</v>
      </c>
      <c r="O268" s="17">
        <f t="shared" si="26"/>
        <v>4.6259144031496913</v>
      </c>
      <c r="P268" s="17">
        <f t="shared" si="27"/>
        <v>0.99030031085318704</v>
      </c>
      <c r="Q268" s="17">
        <f t="shared" si="28"/>
        <v>1</v>
      </c>
      <c r="R268" s="17">
        <f t="shared" si="29"/>
        <v>0</v>
      </c>
    </row>
    <row r="269" spans="1:18" x14ac:dyDescent="0.3">
      <c r="A269" s="17">
        <v>54</v>
      </c>
      <c r="B269" s="17">
        <v>1</v>
      </c>
      <c r="C269" s="17">
        <v>2</v>
      </c>
      <c r="D269" s="17">
        <v>192</v>
      </c>
      <c r="E269" s="17">
        <v>283</v>
      </c>
      <c r="F269" s="17">
        <v>0</v>
      </c>
      <c r="G269" s="17">
        <v>2</v>
      </c>
      <c r="H269" s="17">
        <v>195</v>
      </c>
      <c r="I269" s="17">
        <v>0</v>
      </c>
      <c r="J269" s="17">
        <v>0</v>
      </c>
      <c r="K269" s="17">
        <v>1</v>
      </c>
      <c r="L269" s="17">
        <v>1</v>
      </c>
      <c r="M269" s="17">
        <v>7</v>
      </c>
      <c r="N269" s="17">
        <v>1</v>
      </c>
      <c r="O269" s="17">
        <f t="shared" si="26"/>
        <v>0.64492602600074456</v>
      </c>
      <c r="P269" s="17">
        <f t="shared" si="27"/>
        <v>0.65586614504372887</v>
      </c>
      <c r="Q269" s="17">
        <f t="shared" si="28"/>
        <v>1</v>
      </c>
      <c r="R269" s="17">
        <f t="shared" si="29"/>
        <v>0</v>
      </c>
    </row>
    <row r="270" spans="1:18" x14ac:dyDescent="0.3">
      <c r="A270" s="17">
        <v>51</v>
      </c>
      <c r="B270" s="17">
        <v>1</v>
      </c>
      <c r="C270" s="17">
        <v>4</v>
      </c>
      <c r="D270" s="17">
        <v>140</v>
      </c>
      <c r="E270" s="17">
        <v>298</v>
      </c>
      <c r="F270" s="17">
        <v>0</v>
      </c>
      <c r="G270" s="17">
        <v>0</v>
      </c>
      <c r="H270" s="17">
        <v>122</v>
      </c>
      <c r="I270" s="17">
        <v>1</v>
      </c>
      <c r="J270" s="17">
        <v>4.2</v>
      </c>
      <c r="K270" s="17">
        <v>2</v>
      </c>
      <c r="L270" s="17">
        <v>3</v>
      </c>
      <c r="M270" s="17">
        <v>7</v>
      </c>
      <c r="N270" s="17">
        <v>1</v>
      </c>
      <c r="O270" s="17">
        <f t="shared" si="26"/>
        <v>7.1860591947862336</v>
      </c>
      <c r="P270" s="17">
        <f t="shared" si="27"/>
        <v>0.99924350601439471</v>
      </c>
      <c r="Q270" s="17">
        <f t="shared" si="28"/>
        <v>1</v>
      </c>
      <c r="R270" s="17">
        <f t="shared" si="29"/>
        <v>0</v>
      </c>
    </row>
    <row r="271" spans="1:18" x14ac:dyDescent="0.3">
      <c r="A271" s="17">
        <v>62</v>
      </c>
      <c r="B271" s="17">
        <v>0</v>
      </c>
      <c r="C271" s="17">
        <v>4</v>
      </c>
      <c r="D271" s="17">
        <v>138</v>
      </c>
      <c r="E271" s="17">
        <v>294</v>
      </c>
      <c r="F271" s="17">
        <v>1</v>
      </c>
      <c r="G271" s="17">
        <v>0</v>
      </c>
      <c r="H271" s="17">
        <v>106</v>
      </c>
      <c r="I271" s="17">
        <v>0</v>
      </c>
      <c r="J271" s="17">
        <v>1.9</v>
      </c>
      <c r="K271" s="17">
        <v>2</v>
      </c>
      <c r="L271" s="17">
        <v>3</v>
      </c>
      <c r="M271" s="17">
        <v>3</v>
      </c>
      <c r="N271" s="17">
        <v>1</v>
      </c>
      <c r="O271" s="17">
        <f t="shared" si="26"/>
        <v>3.4510498787747039</v>
      </c>
      <c r="P271" s="17">
        <f t="shared" si="27"/>
        <v>0.96926243485161567</v>
      </c>
      <c r="Q271" s="17">
        <f t="shared" si="28"/>
        <v>1</v>
      </c>
      <c r="R271" s="17">
        <f t="shared" si="29"/>
        <v>0</v>
      </c>
    </row>
    <row r="272" spans="1:18" x14ac:dyDescent="0.3">
      <c r="A272" s="17">
        <v>68</v>
      </c>
      <c r="B272" s="17">
        <v>0</v>
      </c>
      <c r="C272" s="17">
        <v>3</v>
      </c>
      <c r="D272" s="17">
        <v>120</v>
      </c>
      <c r="E272" s="17">
        <v>211</v>
      </c>
      <c r="F272" s="17">
        <v>0</v>
      </c>
      <c r="G272" s="17">
        <v>2</v>
      </c>
      <c r="H272" s="17">
        <v>115</v>
      </c>
      <c r="I272" s="17">
        <v>0</v>
      </c>
      <c r="J272" s="17">
        <v>1.5</v>
      </c>
      <c r="K272" s="17">
        <v>2</v>
      </c>
      <c r="L272" s="17">
        <v>0</v>
      </c>
      <c r="M272" s="17">
        <v>3</v>
      </c>
      <c r="N272" s="17">
        <v>0</v>
      </c>
      <c r="O272" s="17">
        <f t="shared" si="26"/>
        <v>-1.728862744629911</v>
      </c>
      <c r="P272" s="17">
        <f t="shared" si="27"/>
        <v>0.15073310498449488</v>
      </c>
      <c r="Q272" s="17">
        <f t="shared" si="28"/>
        <v>0</v>
      </c>
      <c r="R272" s="17">
        <f t="shared" si="29"/>
        <v>0</v>
      </c>
    </row>
    <row r="273" spans="1:18" x14ac:dyDescent="0.3">
      <c r="A273" s="17">
        <v>50</v>
      </c>
      <c r="B273" s="17">
        <v>0</v>
      </c>
      <c r="C273" s="17">
        <v>4</v>
      </c>
      <c r="D273" s="17">
        <v>110</v>
      </c>
      <c r="E273" s="17">
        <v>254</v>
      </c>
      <c r="F273" s="17">
        <v>0</v>
      </c>
      <c r="G273" s="17">
        <v>2</v>
      </c>
      <c r="H273" s="17">
        <v>159</v>
      </c>
      <c r="I273" s="17">
        <v>0</v>
      </c>
      <c r="J273" s="17">
        <v>0</v>
      </c>
      <c r="K273" s="17">
        <v>1</v>
      </c>
      <c r="L273" s="17">
        <v>0</v>
      </c>
      <c r="M273" s="17">
        <v>3</v>
      </c>
      <c r="N273" s="17">
        <v>0</v>
      </c>
      <c r="O273" s="17">
        <f t="shared" si="26"/>
        <v>-3.0217145940739085</v>
      </c>
      <c r="P273" s="17">
        <f t="shared" si="27"/>
        <v>4.6454464998132113E-2</v>
      </c>
      <c r="Q273" s="17">
        <f t="shared" si="28"/>
        <v>0</v>
      </c>
      <c r="R273" s="17">
        <f t="shared" si="29"/>
        <v>0</v>
      </c>
    </row>
    <row r="274" spans="1:18" x14ac:dyDescent="0.3">
      <c r="A274" s="17">
        <v>43</v>
      </c>
      <c r="B274" s="17">
        <v>1</v>
      </c>
      <c r="C274" s="17">
        <v>4</v>
      </c>
      <c r="D274" s="17">
        <v>110</v>
      </c>
      <c r="E274" s="17">
        <v>211</v>
      </c>
      <c r="F274" s="17">
        <v>0</v>
      </c>
      <c r="G274" s="17">
        <v>0</v>
      </c>
      <c r="H274" s="17">
        <v>161</v>
      </c>
      <c r="I274" s="17">
        <v>0</v>
      </c>
      <c r="J274" s="17">
        <v>0</v>
      </c>
      <c r="K274" s="17">
        <v>1</v>
      </c>
      <c r="L274" s="17">
        <v>0</v>
      </c>
      <c r="M274" s="17">
        <v>7</v>
      </c>
      <c r="N274" s="17">
        <v>0</v>
      </c>
      <c r="O274" s="17">
        <f t="shared" si="26"/>
        <v>-1.4464088616803243</v>
      </c>
      <c r="P274" s="17">
        <f t="shared" si="27"/>
        <v>0.19055486104900177</v>
      </c>
      <c r="Q274" s="17">
        <f t="shared" si="28"/>
        <v>0</v>
      </c>
      <c r="R274" s="17">
        <f t="shared" si="29"/>
        <v>0</v>
      </c>
    </row>
    <row r="275" spans="1:18" x14ac:dyDescent="0.3">
      <c r="A275" s="17">
        <v>58</v>
      </c>
      <c r="B275" s="17">
        <v>1</v>
      </c>
      <c r="C275" s="17">
        <v>4</v>
      </c>
      <c r="D275" s="17">
        <v>128</v>
      </c>
      <c r="E275" s="17">
        <v>259</v>
      </c>
      <c r="F275" s="17">
        <v>0</v>
      </c>
      <c r="G275" s="17">
        <v>2</v>
      </c>
      <c r="H275" s="17">
        <v>130</v>
      </c>
      <c r="I275" s="17">
        <v>1</v>
      </c>
      <c r="J275" s="17">
        <v>3</v>
      </c>
      <c r="K275" s="17">
        <v>2</v>
      </c>
      <c r="L275" s="17">
        <v>2</v>
      </c>
      <c r="M275" s="17">
        <v>7</v>
      </c>
      <c r="N275" s="17">
        <v>1</v>
      </c>
      <c r="O275" s="17">
        <f t="shared" si="26"/>
        <v>5.2727186977672602</v>
      </c>
      <c r="P275" s="17">
        <f t="shared" si="27"/>
        <v>0.99489653333328287</v>
      </c>
      <c r="Q275" s="17">
        <f t="shared" si="28"/>
        <v>1</v>
      </c>
      <c r="R275" s="17">
        <f t="shared" si="29"/>
        <v>0</v>
      </c>
    </row>
    <row r="276" spans="1:18" x14ac:dyDescent="0.3">
      <c r="A276" s="17">
        <v>50</v>
      </c>
      <c r="B276" s="17">
        <v>1</v>
      </c>
      <c r="C276" s="17">
        <v>4</v>
      </c>
      <c r="D276" s="17">
        <v>144</v>
      </c>
      <c r="E276" s="17">
        <v>200</v>
      </c>
      <c r="F276" s="17">
        <v>0</v>
      </c>
      <c r="G276" s="17">
        <v>2</v>
      </c>
      <c r="H276" s="17">
        <v>126</v>
      </c>
      <c r="I276" s="17">
        <v>1</v>
      </c>
      <c r="J276" s="17">
        <v>0.9</v>
      </c>
      <c r="K276" s="17">
        <v>2</v>
      </c>
      <c r="L276" s="17">
        <v>0</v>
      </c>
      <c r="M276" s="17">
        <v>7</v>
      </c>
      <c r="N276" s="17">
        <v>1</v>
      </c>
      <c r="O276" s="17">
        <f t="shared" si="26"/>
        <v>2.5079250260732682</v>
      </c>
      <c r="P276" s="17">
        <f t="shared" si="27"/>
        <v>0.92469552965847013</v>
      </c>
      <c r="Q276" s="17">
        <f t="shared" si="28"/>
        <v>1</v>
      </c>
      <c r="R276" s="17">
        <f t="shared" si="29"/>
        <v>0</v>
      </c>
    </row>
    <row r="277" spans="1:18" x14ac:dyDescent="0.3">
      <c r="A277" s="17">
        <v>62</v>
      </c>
      <c r="B277" s="17">
        <v>0</v>
      </c>
      <c r="C277" s="17">
        <v>4</v>
      </c>
      <c r="D277" s="17">
        <v>150</v>
      </c>
      <c r="E277" s="17">
        <v>244</v>
      </c>
      <c r="F277" s="17">
        <v>0</v>
      </c>
      <c r="G277" s="17">
        <v>0</v>
      </c>
      <c r="H277" s="17">
        <v>154</v>
      </c>
      <c r="I277" s="17">
        <v>1</v>
      </c>
      <c r="J277" s="17">
        <v>1.4</v>
      </c>
      <c r="K277" s="17">
        <v>2</v>
      </c>
      <c r="L277" s="17">
        <v>0</v>
      </c>
      <c r="M277" s="17">
        <v>3</v>
      </c>
      <c r="N277" s="17">
        <v>1</v>
      </c>
      <c r="O277" s="17">
        <f t="shared" si="26"/>
        <v>-0.40917085873315706</v>
      </c>
      <c r="P277" s="17">
        <f t="shared" si="27"/>
        <v>0.39911095032705241</v>
      </c>
      <c r="Q277" s="17">
        <f t="shared" si="28"/>
        <v>0</v>
      </c>
      <c r="R277" s="17">
        <f t="shared" si="29"/>
        <v>1</v>
      </c>
    </row>
    <row r="278" spans="1:18" x14ac:dyDescent="0.3">
      <c r="A278" s="17">
        <v>38</v>
      </c>
      <c r="B278" s="17">
        <v>1</v>
      </c>
      <c r="C278" s="17">
        <v>1</v>
      </c>
      <c r="D278" s="17">
        <v>120</v>
      </c>
      <c r="E278" s="17">
        <v>231</v>
      </c>
      <c r="F278" s="17">
        <v>0</v>
      </c>
      <c r="G278" s="17">
        <v>0</v>
      </c>
      <c r="H278" s="17">
        <v>182</v>
      </c>
      <c r="I278" s="17">
        <v>1</v>
      </c>
      <c r="J278" s="17">
        <v>3.8</v>
      </c>
      <c r="K278" s="17">
        <v>2</v>
      </c>
      <c r="L278" s="17">
        <v>0</v>
      </c>
      <c r="M278" s="17">
        <v>7</v>
      </c>
      <c r="N278" s="17">
        <v>1</v>
      </c>
      <c r="O278" s="17">
        <f t="shared" si="26"/>
        <v>-1.5216579285699892</v>
      </c>
      <c r="P278" s="17">
        <f t="shared" si="27"/>
        <v>0.17921751072844311</v>
      </c>
      <c r="Q278" s="17">
        <f t="shared" si="28"/>
        <v>0</v>
      </c>
      <c r="R278" s="17">
        <f t="shared" si="29"/>
        <v>1</v>
      </c>
    </row>
    <row r="279" spans="1:18" x14ac:dyDescent="0.3">
      <c r="A279" s="17">
        <v>46</v>
      </c>
      <c r="B279" s="17">
        <v>0</v>
      </c>
      <c r="C279" s="17">
        <v>4</v>
      </c>
      <c r="D279" s="17">
        <v>138</v>
      </c>
      <c r="E279" s="17">
        <v>243</v>
      </c>
      <c r="F279" s="17">
        <v>0</v>
      </c>
      <c r="G279" s="17">
        <v>2</v>
      </c>
      <c r="H279" s="17">
        <v>152</v>
      </c>
      <c r="I279" s="17">
        <v>1</v>
      </c>
      <c r="J279" s="17">
        <v>0</v>
      </c>
      <c r="K279" s="17">
        <v>2</v>
      </c>
      <c r="L279" s="17">
        <v>0</v>
      </c>
      <c r="M279" s="17">
        <v>3</v>
      </c>
      <c r="N279" s="17">
        <v>0</v>
      </c>
      <c r="O279" s="17">
        <f t="shared" si="26"/>
        <v>-0.40194661757037764</v>
      </c>
      <c r="P279" s="17">
        <f t="shared" si="27"/>
        <v>0.40084473407648624</v>
      </c>
      <c r="Q279" s="17">
        <f t="shared" si="28"/>
        <v>0</v>
      </c>
      <c r="R279" s="17">
        <f t="shared" si="29"/>
        <v>0</v>
      </c>
    </row>
    <row r="280" spans="1:18" x14ac:dyDescent="0.3">
      <c r="A280" s="17">
        <v>64</v>
      </c>
      <c r="B280" s="17">
        <v>0</v>
      </c>
      <c r="C280" s="17">
        <v>4</v>
      </c>
      <c r="D280" s="17">
        <v>130</v>
      </c>
      <c r="E280" s="17">
        <v>303</v>
      </c>
      <c r="F280" s="17">
        <v>0</v>
      </c>
      <c r="G280" s="17">
        <v>0</v>
      </c>
      <c r="H280" s="17">
        <v>122</v>
      </c>
      <c r="I280" s="17">
        <v>0</v>
      </c>
      <c r="J280" s="17">
        <v>2</v>
      </c>
      <c r="K280" s="17">
        <v>2</v>
      </c>
      <c r="L280" s="17">
        <v>2</v>
      </c>
      <c r="M280" s="17">
        <v>3</v>
      </c>
      <c r="N280" s="17">
        <v>0</v>
      </c>
      <c r="O280" s="17">
        <f t="shared" si="26"/>
        <v>1.9836559434569132</v>
      </c>
      <c r="P280" s="17">
        <f t="shared" si="27"/>
        <v>0.87907034855437727</v>
      </c>
      <c r="Q280" s="17">
        <f t="shared" si="28"/>
        <v>1</v>
      </c>
      <c r="R280" s="17">
        <f t="shared" si="29"/>
        <v>1</v>
      </c>
    </row>
    <row r="281" spans="1:18" x14ac:dyDescent="0.3">
      <c r="A281" s="17">
        <v>41</v>
      </c>
      <c r="B281" s="17">
        <v>0</v>
      </c>
      <c r="C281" s="17">
        <v>3</v>
      </c>
      <c r="D281" s="17">
        <v>112</v>
      </c>
      <c r="E281" s="17">
        <v>268</v>
      </c>
      <c r="F281" s="17">
        <v>0</v>
      </c>
      <c r="G281" s="17">
        <v>2</v>
      </c>
      <c r="H281" s="17">
        <v>172</v>
      </c>
      <c r="I281" s="17">
        <v>1</v>
      </c>
      <c r="J281" s="17">
        <v>0</v>
      </c>
      <c r="K281" s="17">
        <v>1</v>
      </c>
      <c r="L281" s="17">
        <v>0</v>
      </c>
      <c r="M281" s="17">
        <v>3</v>
      </c>
      <c r="N281" s="17">
        <v>0</v>
      </c>
      <c r="O281" s="17">
        <f t="shared" si="26"/>
        <v>-3.2004473947265089</v>
      </c>
      <c r="P281" s="17">
        <f t="shared" si="27"/>
        <v>3.9148890012561999E-2</v>
      </c>
      <c r="Q281" s="17">
        <f t="shared" si="28"/>
        <v>0</v>
      </c>
      <c r="R281" s="17">
        <f t="shared" si="29"/>
        <v>0</v>
      </c>
    </row>
    <row r="282" spans="1:18" x14ac:dyDescent="0.3">
      <c r="A282" s="17">
        <v>53</v>
      </c>
      <c r="B282" s="17">
        <v>1</v>
      </c>
      <c r="C282" s="17">
        <v>4</v>
      </c>
      <c r="D282" s="17">
        <v>123</v>
      </c>
      <c r="E282" s="17">
        <v>282</v>
      </c>
      <c r="F282" s="17">
        <v>0</v>
      </c>
      <c r="G282" s="17">
        <v>0</v>
      </c>
      <c r="H282" s="17">
        <v>95</v>
      </c>
      <c r="I282" s="17">
        <v>1</v>
      </c>
      <c r="J282" s="17">
        <v>2</v>
      </c>
      <c r="K282" s="17">
        <v>2</v>
      </c>
      <c r="L282" s="17">
        <v>2</v>
      </c>
      <c r="M282" s="17">
        <v>7</v>
      </c>
      <c r="N282" s="17">
        <v>1</v>
      </c>
      <c r="O282" s="17">
        <f t="shared" si="26"/>
        <v>5.261062924674011</v>
      </c>
      <c r="P282" s="17">
        <f t="shared" si="27"/>
        <v>0.99483700937858588</v>
      </c>
      <c r="Q282" s="17">
        <f t="shared" si="28"/>
        <v>1</v>
      </c>
      <c r="R282" s="17">
        <f t="shared" si="29"/>
        <v>0</v>
      </c>
    </row>
    <row r="283" spans="1:18" x14ac:dyDescent="0.3">
      <c r="A283" s="17">
        <v>46</v>
      </c>
      <c r="B283" s="17">
        <v>1</v>
      </c>
      <c r="C283" s="17">
        <v>4</v>
      </c>
      <c r="D283" s="17">
        <v>120</v>
      </c>
      <c r="E283" s="17">
        <v>249</v>
      </c>
      <c r="F283" s="17">
        <v>0</v>
      </c>
      <c r="G283" s="17">
        <v>2</v>
      </c>
      <c r="H283" s="17">
        <v>144</v>
      </c>
      <c r="I283" s="17">
        <v>0</v>
      </c>
      <c r="J283" s="17">
        <v>0.8</v>
      </c>
      <c r="K283" s="17">
        <v>1</v>
      </c>
      <c r="L283" s="17">
        <v>0</v>
      </c>
      <c r="M283" s="17">
        <v>7</v>
      </c>
      <c r="N283" s="17">
        <v>1</v>
      </c>
      <c r="O283" s="17">
        <f t="shared" si="26"/>
        <v>-5.9412868215806824E-2</v>
      </c>
      <c r="P283" s="17">
        <f t="shared" si="27"/>
        <v>0.48515115058817149</v>
      </c>
      <c r="Q283" s="17">
        <f t="shared" si="28"/>
        <v>0</v>
      </c>
      <c r="R283" s="17">
        <f t="shared" si="29"/>
        <v>1</v>
      </c>
    </row>
    <row r="284" spans="1:18" x14ac:dyDescent="0.3">
      <c r="A284" s="17">
        <v>49</v>
      </c>
      <c r="B284" s="17">
        <v>0</v>
      </c>
      <c r="C284" s="17">
        <v>2</v>
      </c>
      <c r="D284" s="17">
        <v>134</v>
      </c>
      <c r="E284" s="17">
        <v>271</v>
      </c>
      <c r="F284" s="17">
        <v>0</v>
      </c>
      <c r="G284" s="17">
        <v>0</v>
      </c>
      <c r="H284" s="17">
        <v>162</v>
      </c>
      <c r="I284" s="17">
        <v>0</v>
      </c>
      <c r="J284" s="17">
        <v>0</v>
      </c>
      <c r="K284" s="17">
        <v>2</v>
      </c>
      <c r="L284" s="17">
        <v>0</v>
      </c>
      <c r="M284" s="17">
        <v>3</v>
      </c>
      <c r="N284" s="17">
        <v>0</v>
      </c>
      <c r="O284" s="17">
        <f t="shared" si="26"/>
        <v>-3.5776325105142419</v>
      </c>
      <c r="P284" s="17">
        <f t="shared" si="27"/>
        <v>2.7182251588633029E-2</v>
      </c>
      <c r="Q284" s="17">
        <f t="shared" si="28"/>
        <v>0</v>
      </c>
      <c r="R284" s="17">
        <f t="shared" si="29"/>
        <v>0</v>
      </c>
    </row>
    <row r="285" spans="1:18" x14ac:dyDescent="0.3">
      <c r="A285" s="17">
        <v>49</v>
      </c>
      <c r="B285" s="17">
        <v>0</v>
      </c>
      <c r="C285" s="17">
        <v>4</v>
      </c>
      <c r="D285" s="17">
        <v>130</v>
      </c>
      <c r="E285" s="17">
        <v>269</v>
      </c>
      <c r="F285" s="17">
        <v>0</v>
      </c>
      <c r="G285" s="17">
        <v>0</v>
      </c>
      <c r="H285" s="17">
        <v>163</v>
      </c>
      <c r="I285" s="17">
        <v>0</v>
      </c>
      <c r="J285" s="17">
        <v>0</v>
      </c>
      <c r="K285" s="17">
        <v>1</v>
      </c>
      <c r="L285" s="17">
        <v>0</v>
      </c>
      <c r="M285" s="17">
        <v>3</v>
      </c>
      <c r="N285" s="17">
        <v>0</v>
      </c>
      <c r="O285" s="17">
        <f t="shared" si="26"/>
        <v>-2.917556644520193</v>
      </c>
      <c r="P285" s="17">
        <f t="shared" si="27"/>
        <v>5.1292468114224068E-2</v>
      </c>
      <c r="Q285" s="17">
        <f t="shared" si="28"/>
        <v>0</v>
      </c>
      <c r="R285" s="17">
        <f t="shared" si="29"/>
        <v>0</v>
      </c>
    </row>
    <row r="286" spans="1:18" x14ac:dyDescent="0.3">
      <c r="A286" s="17">
        <v>60</v>
      </c>
      <c r="B286" s="17">
        <v>0</v>
      </c>
      <c r="C286" s="17">
        <v>3</v>
      </c>
      <c r="D286" s="17">
        <v>120</v>
      </c>
      <c r="E286" s="17">
        <v>178</v>
      </c>
      <c r="F286" s="17">
        <v>1</v>
      </c>
      <c r="G286" s="17">
        <v>0</v>
      </c>
      <c r="H286" s="17">
        <v>96</v>
      </c>
      <c r="I286" s="17">
        <v>0</v>
      </c>
      <c r="J286" s="17">
        <v>0</v>
      </c>
      <c r="K286" s="17">
        <v>1</v>
      </c>
      <c r="L286" s="17">
        <v>0</v>
      </c>
      <c r="M286" s="17">
        <v>3</v>
      </c>
      <c r="N286" s="17">
        <v>0</v>
      </c>
      <c r="O286" s="17">
        <f t="shared" si="26"/>
        <v>-3.4971283550168089</v>
      </c>
      <c r="P286" s="17">
        <f t="shared" si="27"/>
        <v>2.9394048266907835E-2</v>
      </c>
      <c r="Q286" s="17">
        <f t="shared" si="28"/>
        <v>0</v>
      </c>
      <c r="R286" s="17">
        <f t="shared" si="29"/>
        <v>0</v>
      </c>
    </row>
    <row r="287" spans="1:18" x14ac:dyDescent="0.3">
      <c r="A287" s="17">
        <v>58</v>
      </c>
      <c r="B287" s="17">
        <v>1</v>
      </c>
      <c r="C287" s="17">
        <v>4</v>
      </c>
      <c r="D287" s="17">
        <v>100</v>
      </c>
      <c r="E287" s="17">
        <v>234</v>
      </c>
      <c r="F287" s="17">
        <v>0</v>
      </c>
      <c r="G287" s="17">
        <v>0</v>
      </c>
      <c r="H287" s="17">
        <v>156</v>
      </c>
      <c r="I287" s="17">
        <v>0</v>
      </c>
      <c r="J287" s="17">
        <v>0.1</v>
      </c>
      <c r="K287" s="17">
        <v>1</v>
      </c>
      <c r="L287" s="17">
        <v>1</v>
      </c>
      <c r="M287" s="17">
        <v>7</v>
      </c>
      <c r="N287" s="17">
        <v>1</v>
      </c>
      <c r="O287" s="17">
        <f t="shared" si="26"/>
        <v>-0.33350844750579789</v>
      </c>
      <c r="P287" s="17">
        <f t="shared" si="27"/>
        <v>0.41738720951064318</v>
      </c>
      <c r="Q287" s="17">
        <f t="shared" si="28"/>
        <v>0</v>
      </c>
      <c r="R287" s="17">
        <f t="shared" si="29"/>
        <v>1</v>
      </c>
    </row>
    <row r="288" spans="1:18" x14ac:dyDescent="0.3">
      <c r="A288" s="17">
        <v>47</v>
      </c>
      <c r="B288" s="17">
        <v>1</v>
      </c>
      <c r="C288" s="17">
        <v>4</v>
      </c>
      <c r="D288" s="17">
        <v>110</v>
      </c>
      <c r="E288" s="17">
        <v>275</v>
      </c>
      <c r="F288" s="17">
        <v>0</v>
      </c>
      <c r="G288" s="17">
        <v>2</v>
      </c>
      <c r="H288" s="17">
        <v>118</v>
      </c>
      <c r="I288" s="17">
        <v>1</v>
      </c>
      <c r="J288" s="17">
        <v>1</v>
      </c>
      <c r="K288" s="17">
        <v>2</v>
      </c>
      <c r="L288" s="17">
        <v>1</v>
      </c>
      <c r="M288" s="17">
        <v>3</v>
      </c>
      <c r="N288" s="17">
        <v>1</v>
      </c>
      <c r="O288" s="17">
        <f t="shared" si="26"/>
        <v>2.0583568398002008</v>
      </c>
      <c r="P288" s="17">
        <f t="shared" si="27"/>
        <v>0.88678931126981875</v>
      </c>
      <c r="Q288" s="17">
        <f t="shared" si="28"/>
        <v>1</v>
      </c>
      <c r="R288" s="17">
        <f t="shared" si="29"/>
        <v>0</v>
      </c>
    </row>
    <row r="289" spans="1:18" x14ac:dyDescent="0.3">
      <c r="A289" s="17">
        <v>62</v>
      </c>
      <c r="B289" s="17">
        <v>1</v>
      </c>
      <c r="C289" s="17">
        <v>2</v>
      </c>
      <c r="D289" s="17">
        <v>128</v>
      </c>
      <c r="E289" s="17">
        <v>208</v>
      </c>
      <c r="F289" s="17">
        <v>1</v>
      </c>
      <c r="G289" s="17">
        <v>2</v>
      </c>
      <c r="H289" s="17">
        <v>140</v>
      </c>
      <c r="I289" s="17">
        <v>0</v>
      </c>
      <c r="J289" s="17">
        <v>0</v>
      </c>
      <c r="K289" s="17">
        <v>1</v>
      </c>
      <c r="L289" s="17">
        <v>0</v>
      </c>
      <c r="M289" s="17">
        <v>3</v>
      </c>
      <c r="N289" s="17">
        <v>0</v>
      </c>
      <c r="O289" s="17">
        <f t="shared" ref="O289:O306" si="30">SUMPRODUCT(A$4:M$4, A289:M289)+N$4</f>
        <v>-3.5682166753161519</v>
      </c>
      <c r="P289" s="17">
        <f t="shared" ref="P289:P306" si="31">1/(1+EXP(0-O289))</f>
        <v>2.7432349648840861E-2</v>
      </c>
      <c r="Q289" s="17">
        <f t="shared" ref="Q289:Q306" si="32">IF(P289&lt;=0.5, 0, 1)</f>
        <v>0</v>
      </c>
      <c r="R289" s="17">
        <f t="shared" ref="R289:R306" si="33">IF(N289=Q289, 0, 1)</f>
        <v>0</v>
      </c>
    </row>
    <row r="290" spans="1:18" x14ac:dyDescent="0.3">
      <c r="A290" s="17">
        <v>58</v>
      </c>
      <c r="B290" s="17">
        <v>1</v>
      </c>
      <c r="C290" s="17">
        <v>4</v>
      </c>
      <c r="D290" s="17">
        <v>146</v>
      </c>
      <c r="E290" s="17">
        <v>218</v>
      </c>
      <c r="F290" s="17">
        <v>0</v>
      </c>
      <c r="G290" s="17">
        <v>0</v>
      </c>
      <c r="H290" s="17">
        <v>105</v>
      </c>
      <c r="I290" s="17">
        <v>0</v>
      </c>
      <c r="J290" s="17">
        <v>2</v>
      </c>
      <c r="K290" s="17">
        <v>2</v>
      </c>
      <c r="L290" s="17">
        <v>1</v>
      </c>
      <c r="M290" s="17">
        <v>7</v>
      </c>
      <c r="N290" s="17">
        <v>1</v>
      </c>
      <c r="O290" s="17">
        <f t="shared" si="30"/>
        <v>3.4119964194113965</v>
      </c>
      <c r="P290" s="17">
        <f t="shared" si="31"/>
        <v>0.9680773567211659</v>
      </c>
      <c r="Q290" s="17">
        <f t="shared" si="32"/>
        <v>1</v>
      </c>
      <c r="R290" s="17">
        <f t="shared" si="33"/>
        <v>0</v>
      </c>
    </row>
    <row r="291" spans="1:18" x14ac:dyDescent="0.3">
      <c r="A291" s="17">
        <v>51</v>
      </c>
      <c r="B291" s="17">
        <v>0</v>
      </c>
      <c r="C291" s="17">
        <v>3</v>
      </c>
      <c r="D291" s="17">
        <v>120</v>
      </c>
      <c r="E291" s="17">
        <v>295</v>
      </c>
      <c r="F291" s="17">
        <v>0</v>
      </c>
      <c r="G291" s="17">
        <v>2</v>
      </c>
      <c r="H291" s="17">
        <v>157</v>
      </c>
      <c r="I291" s="17">
        <v>0</v>
      </c>
      <c r="J291" s="17">
        <v>0.6</v>
      </c>
      <c r="K291" s="17">
        <v>1</v>
      </c>
      <c r="L291" s="17">
        <v>0</v>
      </c>
      <c r="M291" s="17">
        <v>3</v>
      </c>
      <c r="N291" s="17">
        <v>0</v>
      </c>
      <c r="O291" s="17">
        <f t="shared" si="30"/>
        <v>-3.2778894824893916</v>
      </c>
      <c r="P291" s="17">
        <f t="shared" si="31"/>
        <v>3.6337548365668784E-2</v>
      </c>
      <c r="Q291" s="17">
        <f t="shared" si="32"/>
        <v>0</v>
      </c>
      <c r="R291" s="17">
        <f t="shared" si="33"/>
        <v>0</v>
      </c>
    </row>
    <row r="292" spans="1:18" x14ac:dyDescent="0.3">
      <c r="A292" s="17">
        <v>67</v>
      </c>
      <c r="B292" s="17">
        <v>0</v>
      </c>
      <c r="C292" s="17">
        <v>4</v>
      </c>
      <c r="D292" s="17">
        <v>106</v>
      </c>
      <c r="E292" s="17">
        <v>223</v>
      </c>
      <c r="F292" s="17">
        <v>0</v>
      </c>
      <c r="G292" s="17">
        <v>0</v>
      </c>
      <c r="H292" s="17">
        <v>142</v>
      </c>
      <c r="I292" s="17">
        <v>0</v>
      </c>
      <c r="J292" s="17">
        <v>0.3</v>
      </c>
      <c r="K292" s="17">
        <v>1</v>
      </c>
      <c r="L292" s="17">
        <v>2</v>
      </c>
      <c r="M292" s="17">
        <v>3</v>
      </c>
      <c r="N292" s="17">
        <v>0</v>
      </c>
      <c r="O292" s="17">
        <f t="shared" si="30"/>
        <v>-0.65356009866120957</v>
      </c>
      <c r="P292" s="17">
        <f t="shared" si="31"/>
        <v>0.34218772626679728</v>
      </c>
      <c r="Q292" s="17">
        <f t="shared" si="32"/>
        <v>0</v>
      </c>
      <c r="R292" s="17">
        <f t="shared" si="33"/>
        <v>0</v>
      </c>
    </row>
    <row r="293" spans="1:18" x14ac:dyDescent="0.3">
      <c r="A293" s="17">
        <v>70</v>
      </c>
      <c r="B293" s="17">
        <v>1</v>
      </c>
      <c r="C293" s="17">
        <v>2</v>
      </c>
      <c r="D293" s="17">
        <v>156</v>
      </c>
      <c r="E293" s="17">
        <v>245</v>
      </c>
      <c r="F293" s="17">
        <v>0</v>
      </c>
      <c r="G293" s="17">
        <v>2</v>
      </c>
      <c r="H293" s="17">
        <v>143</v>
      </c>
      <c r="I293" s="17">
        <v>0</v>
      </c>
      <c r="J293" s="17">
        <v>0</v>
      </c>
      <c r="K293" s="17">
        <v>1</v>
      </c>
      <c r="L293" s="17">
        <v>0</v>
      </c>
      <c r="M293" s="17">
        <v>3</v>
      </c>
      <c r="N293" s="17">
        <v>0</v>
      </c>
      <c r="O293" s="17">
        <f t="shared" si="30"/>
        <v>-2.2644476755172578</v>
      </c>
      <c r="P293" s="17">
        <f t="shared" si="31"/>
        <v>9.411050295142008E-2</v>
      </c>
      <c r="Q293" s="17">
        <f t="shared" si="32"/>
        <v>0</v>
      </c>
      <c r="R293" s="17">
        <f t="shared" si="33"/>
        <v>0</v>
      </c>
    </row>
    <row r="294" spans="1:18" x14ac:dyDescent="0.3">
      <c r="A294" s="17">
        <v>57</v>
      </c>
      <c r="B294" s="17">
        <v>1</v>
      </c>
      <c r="C294" s="17">
        <v>2</v>
      </c>
      <c r="D294" s="17">
        <v>124</v>
      </c>
      <c r="E294" s="17">
        <v>261</v>
      </c>
      <c r="F294" s="17">
        <v>0</v>
      </c>
      <c r="G294" s="17">
        <v>0</v>
      </c>
      <c r="H294" s="17">
        <v>141</v>
      </c>
      <c r="I294" s="17">
        <v>0</v>
      </c>
      <c r="J294" s="17">
        <v>0.3</v>
      </c>
      <c r="K294" s="17">
        <v>1</v>
      </c>
      <c r="L294" s="17">
        <v>0</v>
      </c>
      <c r="M294" s="17">
        <v>7</v>
      </c>
      <c r="N294" s="17">
        <v>1</v>
      </c>
      <c r="O294" s="17">
        <f t="shared" si="30"/>
        <v>-2.225172223859686</v>
      </c>
      <c r="P294" s="17">
        <f t="shared" si="31"/>
        <v>9.7512679609019187E-2</v>
      </c>
      <c r="Q294" s="17">
        <f t="shared" si="32"/>
        <v>0</v>
      </c>
      <c r="R294" s="17">
        <f t="shared" si="33"/>
        <v>1</v>
      </c>
    </row>
    <row r="295" spans="1:18" x14ac:dyDescent="0.3">
      <c r="A295" s="17">
        <v>44</v>
      </c>
      <c r="B295" s="17">
        <v>0</v>
      </c>
      <c r="C295" s="17">
        <v>3</v>
      </c>
      <c r="D295" s="17">
        <v>118</v>
      </c>
      <c r="E295" s="17">
        <v>242</v>
      </c>
      <c r="F295" s="17">
        <v>0</v>
      </c>
      <c r="G295" s="17">
        <v>0</v>
      </c>
      <c r="H295" s="17">
        <v>149</v>
      </c>
      <c r="I295" s="17">
        <v>0</v>
      </c>
      <c r="J295" s="17">
        <v>0.3</v>
      </c>
      <c r="K295" s="17">
        <v>2</v>
      </c>
      <c r="L295" s="17">
        <v>1</v>
      </c>
      <c r="M295" s="17">
        <v>3</v>
      </c>
      <c r="N295" s="17">
        <v>0</v>
      </c>
      <c r="O295" s="17">
        <f t="shared" si="30"/>
        <v>-1.5073901135976167</v>
      </c>
      <c r="P295" s="17">
        <f t="shared" si="31"/>
        <v>0.18132590030640808</v>
      </c>
      <c r="Q295" s="17">
        <f t="shared" si="32"/>
        <v>0</v>
      </c>
      <c r="R295" s="17">
        <f t="shared" si="33"/>
        <v>0</v>
      </c>
    </row>
    <row r="296" spans="1:18" x14ac:dyDescent="0.3">
      <c r="A296" s="17">
        <v>44</v>
      </c>
      <c r="B296" s="17">
        <v>1</v>
      </c>
      <c r="C296" s="17">
        <v>3</v>
      </c>
      <c r="D296" s="17">
        <v>120</v>
      </c>
      <c r="E296" s="17">
        <v>226</v>
      </c>
      <c r="F296" s="17">
        <v>0</v>
      </c>
      <c r="G296" s="17">
        <v>0</v>
      </c>
      <c r="H296" s="17">
        <v>169</v>
      </c>
      <c r="I296" s="17">
        <v>0</v>
      </c>
      <c r="J296" s="17">
        <v>0</v>
      </c>
      <c r="K296" s="17">
        <v>1</v>
      </c>
      <c r="L296" s="17">
        <v>0</v>
      </c>
      <c r="M296" s="17">
        <v>3</v>
      </c>
      <c r="N296" s="17">
        <v>0</v>
      </c>
      <c r="O296" s="17">
        <f t="shared" si="30"/>
        <v>-3.3256446936656712</v>
      </c>
      <c r="P296" s="17">
        <f t="shared" si="31"/>
        <v>3.470182735667058E-2</v>
      </c>
      <c r="Q296" s="17">
        <f t="shared" si="32"/>
        <v>0</v>
      </c>
      <c r="R296" s="17">
        <f t="shared" si="33"/>
        <v>0</v>
      </c>
    </row>
    <row r="297" spans="1:18" x14ac:dyDescent="0.3">
      <c r="A297" s="17">
        <v>46</v>
      </c>
      <c r="B297" s="17">
        <v>1</v>
      </c>
      <c r="C297" s="17">
        <v>4</v>
      </c>
      <c r="D297" s="17">
        <v>140</v>
      </c>
      <c r="E297" s="17">
        <v>311</v>
      </c>
      <c r="F297" s="17">
        <v>0</v>
      </c>
      <c r="G297" s="17">
        <v>0</v>
      </c>
      <c r="H297" s="17">
        <v>120</v>
      </c>
      <c r="I297" s="17">
        <v>1</v>
      </c>
      <c r="J297" s="17">
        <v>1.8</v>
      </c>
      <c r="K297" s="17">
        <v>2</v>
      </c>
      <c r="L297" s="17">
        <v>2</v>
      </c>
      <c r="M297" s="17">
        <v>7</v>
      </c>
      <c r="N297" s="17">
        <v>1</v>
      </c>
      <c r="O297" s="17">
        <f t="shared" si="30"/>
        <v>5.3650041475029369</v>
      </c>
      <c r="P297" s="17">
        <f t="shared" si="31"/>
        <v>0.99534433575327019</v>
      </c>
      <c r="Q297" s="17">
        <f t="shared" si="32"/>
        <v>1</v>
      </c>
      <c r="R297" s="17">
        <f t="shared" si="33"/>
        <v>0</v>
      </c>
    </row>
    <row r="298" spans="1:18" x14ac:dyDescent="0.3">
      <c r="A298" s="17">
        <v>59</v>
      </c>
      <c r="B298" s="17">
        <v>1</v>
      </c>
      <c r="C298" s="17">
        <v>1</v>
      </c>
      <c r="D298" s="17">
        <v>134</v>
      </c>
      <c r="E298" s="17">
        <v>204</v>
      </c>
      <c r="F298" s="17">
        <v>0</v>
      </c>
      <c r="G298" s="17">
        <v>0</v>
      </c>
      <c r="H298" s="17">
        <v>162</v>
      </c>
      <c r="I298" s="17">
        <v>0</v>
      </c>
      <c r="J298" s="17">
        <v>0.8</v>
      </c>
      <c r="K298" s="17">
        <v>1</v>
      </c>
      <c r="L298" s="17">
        <v>2</v>
      </c>
      <c r="M298" s="17">
        <v>3</v>
      </c>
      <c r="N298" s="17">
        <v>1</v>
      </c>
      <c r="O298" s="17">
        <f t="shared" si="30"/>
        <v>-1.6419049781386335</v>
      </c>
      <c r="P298" s="17">
        <f t="shared" si="31"/>
        <v>0.16220601853190569</v>
      </c>
      <c r="Q298" s="17">
        <f t="shared" si="32"/>
        <v>0</v>
      </c>
      <c r="R298" s="17">
        <f t="shared" si="33"/>
        <v>1</v>
      </c>
    </row>
    <row r="299" spans="1:18" x14ac:dyDescent="0.3">
      <c r="A299" s="17">
        <v>64</v>
      </c>
      <c r="B299" s="17">
        <v>1</v>
      </c>
      <c r="C299" s="17">
        <v>1</v>
      </c>
      <c r="D299" s="17">
        <v>170</v>
      </c>
      <c r="E299" s="17">
        <v>227</v>
      </c>
      <c r="F299" s="17">
        <v>0</v>
      </c>
      <c r="G299" s="17">
        <v>2</v>
      </c>
      <c r="H299" s="17">
        <v>155</v>
      </c>
      <c r="I299" s="17">
        <v>0</v>
      </c>
      <c r="J299" s="17">
        <v>0.6</v>
      </c>
      <c r="K299" s="17">
        <v>2</v>
      </c>
      <c r="L299" s="17">
        <v>0</v>
      </c>
      <c r="M299" s="17">
        <v>7</v>
      </c>
      <c r="N299" s="17">
        <v>0</v>
      </c>
      <c r="O299" s="17">
        <f t="shared" si="30"/>
        <v>-0.68850191707142905</v>
      </c>
      <c r="P299" s="17">
        <f t="shared" si="31"/>
        <v>0.33436641207136181</v>
      </c>
      <c r="Q299" s="17">
        <f t="shared" si="32"/>
        <v>0</v>
      </c>
      <c r="R299" s="17">
        <f t="shared" si="33"/>
        <v>0</v>
      </c>
    </row>
    <row r="300" spans="1:18" x14ac:dyDescent="0.3">
      <c r="A300" s="17">
        <v>57</v>
      </c>
      <c r="B300" s="17">
        <v>1</v>
      </c>
      <c r="C300" s="17">
        <v>2</v>
      </c>
      <c r="D300" s="17">
        <v>154</v>
      </c>
      <c r="E300" s="17">
        <v>232</v>
      </c>
      <c r="F300" s="17">
        <v>0</v>
      </c>
      <c r="G300" s="17">
        <v>2</v>
      </c>
      <c r="H300" s="17">
        <v>164</v>
      </c>
      <c r="I300" s="17">
        <v>0</v>
      </c>
      <c r="J300" s="17">
        <v>0</v>
      </c>
      <c r="K300" s="17">
        <v>1</v>
      </c>
      <c r="L300" s="17">
        <v>1</v>
      </c>
      <c r="M300" s="17">
        <v>3</v>
      </c>
      <c r="N300" s="17">
        <v>1</v>
      </c>
      <c r="O300" s="17">
        <f t="shared" si="30"/>
        <v>-1.2494981552013744</v>
      </c>
      <c r="P300" s="17">
        <f t="shared" si="31"/>
        <v>0.22278702265133771</v>
      </c>
      <c r="Q300" s="17">
        <f t="shared" si="32"/>
        <v>0</v>
      </c>
      <c r="R300" s="17">
        <f t="shared" si="33"/>
        <v>1</v>
      </c>
    </row>
    <row r="301" spans="1:18" x14ac:dyDescent="0.3">
      <c r="A301" s="17">
        <v>47</v>
      </c>
      <c r="B301" s="17">
        <v>1</v>
      </c>
      <c r="C301" s="17">
        <v>3</v>
      </c>
      <c r="D301" s="17">
        <v>130</v>
      </c>
      <c r="E301" s="17">
        <v>253</v>
      </c>
      <c r="F301" s="17">
        <v>0</v>
      </c>
      <c r="G301" s="17">
        <v>0</v>
      </c>
      <c r="H301" s="17">
        <v>179</v>
      </c>
      <c r="I301" s="17">
        <v>0</v>
      </c>
      <c r="J301" s="17">
        <v>0</v>
      </c>
      <c r="K301" s="17">
        <v>1</v>
      </c>
      <c r="L301" s="17">
        <v>0</v>
      </c>
      <c r="M301" s="17">
        <v>3</v>
      </c>
      <c r="N301" s="17">
        <v>0</v>
      </c>
      <c r="O301" s="17">
        <f t="shared" si="30"/>
        <v>-3.1938350787410057</v>
      </c>
      <c r="P301" s="17">
        <f t="shared" si="31"/>
        <v>3.9398379932897465E-2</v>
      </c>
      <c r="Q301" s="17">
        <f t="shared" si="32"/>
        <v>0</v>
      </c>
      <c r="R301" s="17">
        <f t="shared" si="33"/>
        <v>0</v>
      </c>
    </row>
    <row r="302" spans="1:18" x14ac:dyDescent="0.3">
      <c r="A302" s="17">
        <v>35</v>
      </c>
      <c r="B302" s="17">
        <v>1</v>
      </c>
      <c r="C302" s="17">
        <v>2</v>
      </c>
      <c r="D302" s="17">
        <v>122</v>
      </c>
      <c r="E302" s="17">
        <v>192</v>
      </c>
      <c r="F302" s="17">
        <v>0</v>
      </c>
      <c r="G302" s="17">
        <v>0</v>
      </c>
      <c r="H302" s="17">
        <v>174</v>
      </c>
      <c r="I302" s="17">
        <v>0</v>
      </c>
      <c r="J302" s="17">
        <v>0</v>
      </c>
      <c r="K302" s="17">
        <v>1</v>
      </c>
      <c r="L302" s="17">
        <v>0</v>
      </c>
      <c r="M302" s="17">
        <v>3</v>
      </c>
      <c r="N302" s="17">
        <v>0</v>
      </c>
      <c r="O302" s="17">
        <f t="shared" si="30"/>
        <v>-4.1856451015574594</v>
      </c>
      <c r="P302" s="17">
        <f t="shared" si="31"/>
        <v>1.4984440104468946E-2</v>
      </c>
      <c r="Q302" s="17">
        <f t="shared" si="32"/>
        <v>0</v>
      </c>
      <c r="R302" s="17">
        <f t="shared" si="33"/>
        <v>0</v>
      </c>
    </row>
    <row r="303" spans="1:18" x14ac:dyDescent="0.3">
      <c r="A303" s="17">
        <v>56</v>
      </c>
      <c r="B303" s="17">
        <v>1</v>
      </c>
      <c r="C303" s="17">
        <v>2</v>
      </c>
      <c r="D303" s="17">
        <v>130</v>
      </c>
      <c r="E303" s="17">
        <v>221</v>
      </c>
      <c r="F303" s="17">
        <v>0</v>
      </c>
      <c r="G303" s="17">
        <v>2</v>
      </c>
      <c r="H303" s="17">
        <v>163</v>
      </c>
      <c r="I303" s="17">
        <v>0</v>
      </c>
      <c r="J303" s="17">
        <v>0</v>
      </c>
      <c r="K303" s="17">
        <v>1</v>
      </c>
      <c r="L303" s="17">
        <v>0</v>
      </c>
      <c r="M303" s="17">
        <v>7</v>
      </c>
      <c r="N303" s="17">
        <v>0</v>
      </c>
      <c r="O303" s="17">
        <f t="shared" si="30"/>
        <v>-2.1795041686935859</v>
      </c>
      <c r="P303" s="17">
        <f t="shared" si="31"/>
        <v>0.10160617961159454</v>
      </c>
      <c r="Q303" s="17">
        <f t="shared" si="32"/>
        <v>0</v>
      </c>
      <c r="R303" s="17">
        <f t="shared" si="33"/>
        <v>0</v>
      </c>
    </row>
    <row r="304" spans="1:18" x14ac:dyDescent="0.3">
      <c r="A304" s="17">
        <v>56</v>
      </c>
      <c r="B304" s="17">
        <v>1</v>
      </c>
      <c r="C304" s="17">
        <v>2</v>
      </c>
      <c r="D304" s="17">
        <v>120</v>
      </c>
      <c r="E304" s="17">
        <v>240</v>
      </c>
      <c r="F304" s="17">
        <v>0</v>
      </c>
      <c r="G304" s="17">
        <v>0</v>
      </c>
      <c r="H304" s="17">
        <v>169</v>
      </c>
      <c r="I304" s="17">
        <v>0</v>
      </c>
      <c r="J304" s="17">
        <v>0</v>
      </c>
      <c r="K304" s="17">
        <v>3</v>
      </c>
      <c r="L304" s="17">
        <v>0</v>
      </c>
      <c r="M304" s="17">
        <v>3</v>
      </c>
      <c r="N304" s="17">
        <v>0</v>
      </c>
      <c r="O304" s="17">
        <f t="shared" si="30"/>
        <v>-2.5439377791427411</v>
      </c>
      <c r="P304" s="17">
        <f t="shared" si="31"/>
        <v>7.2834807891436315E-2</v>
      </c>
      <c r="Q304" s="17">
        <f t="shared" si="32"/>
        <v>0</v>
      </c>
      <c r="R304" s="17">
        <f t="shared" si="33"/>
        <v>0</v>
      </c>
    </row>
    <row r="305" spans="1:18" x14ac:dyDescent="0.3">
      <c r="A305" s="17">
        <v>63</v>
      </c>
      <c r="B305" s="17">
        <v>1</v>
      </c>
      <c r="C305" s="17">
        <v>4</v>
      </c>
      <c r="D305" s="17">
        <v>140</v>
      </c>
      <c r="E305" s="17">
        <v>187</v>
      </c>
      <c r="F305" s="17">
        <v>0</v>
      </c>
      <c r="G305" s="17">
        <v>2</v>
      </c>
      <c r="H305" s="17">
        <v>144</v>
      </c>
      <c r="I305" s="17">
        <v>1</v>
      </c>
      <c r="J305" s="17">
        <v>4</v>
      </c>
      <c r="K305" s="17">
        <v>1</v>
      </c>
      <c r="L305" s="17">
        <v>2</v>
      </c>
      <c r="M305" s="17">
        <v>7</v>
      </c>
      <c r="N305" s="17">
        <v>1</v>
      </c>
      <c r="O305" s="17">
        <f t="shared" si="30"/>
        <v>4.4862977888041016</v>
      </c>
      <c r="P305" s="17">
        <f t="shared" si="31"/>
        <v>0.98886316397031426</v>
      </c>
      <c r="Q305" s="17">
        <f t="shared" si="32"/>
        <v>1</v>
      </c>
      <c r="R305" s="17">
        <f t="shared" si="33"/>
        <v>0</v>
      </c>
    </row>
    <row r="306" spans="1:18" x14ac:dyDescent="0.3">
      <c r="A306" s="17">
        <v>45</v>
      </c>
      <c r="B306" s="17">
        <v>1</v>
      </c>
      <c r="C306" s="17">
        <v>1</v>
      </c>
      <c r="D306" s="17">
        <v>110</v>
      </c>
      <c r="E306" s="17">
        <v>264</v>
      </c>
      <c r="F306" s="17">
        <v>0</v>
      </c>
      <c r="G306" s="17">
        <v>0</v>
      </c>
      <c r="H306" s="17">
        <v>132</v>
      </c>
      <c r="I306" s="17">
        <v>0</v>
      </c>
      <c r="J306" s="17">
        <v>1.2</v>
      </c>
      <c r="K306" s="17">
        <v>2</v>
      </c>
      <c r="L306" s="17">
        <v>0</v>
      </c>
      <c r="M306" s="17">
        <v>7</v>
      </c>
      <c r="N306" s="17">
        <v>1</v>
      </c>
      <c r="O306" s="17">
        <f t="shared" si="30"/>
        <v>-2.0988796681059521</v>
      </c>
      <c r="P306" s="17">
        <f t="shared" si="31"/>
        <v>0.1092057592203993</v>
      </c>
      <c r="Q306" s="17">
        <f t="shared" si="32"/>
        <v>0</v>
      </c>
      <c r="R306" s="17">
        <f t="shared" si="33"/>
        <v>1</v>
      </c>
    </row>
  </sheetData>
  <mergeCells count="1">
    <mergeCell ref="A223:M2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Liner Regression</vt:lpstr>
      <vt:lpstr>chapter6_01</vt:lpstr>
      <vt:lpstr>chapter6_02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Tuấn Đạt</dc:creator>
  <cp:lastModifiedBy>Nguyễn Tuấn Đạt</cp:lastModifiedBy>
  <dcterms:created xsi:type="dcterms:W3CDTF">2025-11-28T00:31:21Z</dcterms:created>
  <dcterms:modified xsi:type="dcterms:W3CDTF">2025-11-28T02:46:42Z</dcterms:modified>
</cp:coreProperties>
</file>